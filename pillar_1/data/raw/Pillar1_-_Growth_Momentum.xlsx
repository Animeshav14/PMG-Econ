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732535AF-135F-4749-B4E0-D1E031E75D43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otes" sheetId="3" r:id="rId1"/>
    <sheet name="Industrial Production-INDPRO" sheetId="4" r:id="rId2"/>
    <sheet name="Retail Sales-RSAFS" sheetId="6" r:id="rId3"/>
    <sheet name="Nonfarm Payrolls-PAYEMS" sheetId="7" r:id="rId4"/>
    <sheet name="Real Personal Consumption Exp" sheetId="8" r:id="rId5"/>
    <sheet name="GDPNOW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4" i="8" l="1"/>
  <c r="E194" i="8" a="1"/>
  <c r="E194" i="8" s="1"/>
  <c r="D194" i="8" a="1"/>
  <c r="D194" i="8" s="1"/>
  <c r="C194" i="8" a="1"/>
  <c r="C194" i="8" s="1"/>
  <c r="F193" i="8"/>
  <c r="E193" i="8" a="1"/>
  <c r="E193" i="8" s="1"/>
  <c r="D193" i="8" a="1"/>
  <c r="D193" i="8" s="1"/>
  <c r="C193" i="8" a="1"/>
  <c r="C193" i="8" s="1"/>
  <c r="F192" i="8"/>
  <c r="E192" i="8" a="1"/>
  <c r="E192" i="8" s="1"/>
  <c r="D192" i="8" a="1"/>
  <c r="D192" i="8" s="1"/>
  <c r="C192" i="8" a="1"/>
  <c r="C192" i="8" s="1"/>
  <c r="F191" i="8"/>
  <c r="E191" i="8" a="1"/>
  <c r="E191" i="8" s="1"/>
  <c r="D191" i="8" a="1"/>
  <c r="D191" i="8" s="1"/>
  <c r="C191" i="8" a="1"/>
  <c r="C191" i="8" s="1"/>
  <c r="F190" i="8"/>
  <c r="E190" i="8" a="1"/>
  <c r="E190" i="8" s="1"/>
  <c r="D190" i="8" a="1"/>
  <c r="D190" i="8" s="1"/>
  <c r="C190" i="8" a="1"/>
  <c r="C190" i="8" s="1"/>
  <c r="F189" i="8"/>
  <c r="E189" i="8" a="1"/>
  <c r="E189" i="8" s="1"/>
  <c r="D189" i="8" a="1"/>
  <c r="D189" i="8" s="1"/>
  <c r="C189" i="8" a="1"/>
  <c r="C189" i="8" s="1"/>
  <c r="F188" i="8"/>
  <c r="E188" i="8" a="1"/>
  <c r="E188" i="8" s="1"/>
  <c r="D188" i="8" a="1"/>
  <c r="D188" i="8" s="1"/>
  <c r="C188" i="8" a="1"/>
  <c r="C188" i="8" s="1"/>
  <c r="F187" i="8"/>
  <c r="E187" i="8" a="1"/>
  <c r="E187" i="8" s="1"/>
  <c r="D187" i="8" a="1"/>
  <c r="D187" i="8" s="1"/>
  <c r="C187" i="8" a="1"/>
  <c r="C187" i="8" s="1"/>
  <c r="F186" i="8"/>
  <c r="E186" i="8" a="1"/>
  <c r="E186" i="8" s="1"/>
  <c r="D186" i="8" a="1"/>
  <c r="D186" i="8" s="1"/>
  <c r="C186" i="8" a="1"/>
  <c r="C186" i="8" s="1"/>
  <c r="F185" i="8"/>
  <c r="E185" i="8" a="1"/>
  <c r="E185" i="8" s="1"/>
  <c r="D185" i="8" a="1"/>
  <c r="D185" i="8" s="1"/>
  <c r="C185" i="8" a="1"/>
  <c r="C185" i="8" s="1"/>
  <c r="F184" i="8"/>
  <c r="E184" i="8" a="1"/>
  <c r="E184" i="8" s="1"/>
  <c r="D184" i="8" a="1"/>
  <c r="D184" i="8" s="1"/>
  <c r="C184" i="8" a="1"/>
  <c r="C184" i="8" s="1"/>
  <c r="F183" i="8"/>
  <c r="E183" i="8" a="1"/>
  <c r="E183" i="8" s="1"/>
  <c r="D183" i="8" a="1"/>
  <c r="D183" i="8" s="1"/>
  <c r="C183" i="8" a="1"/>
  <c r="C183" i="8" s="1"/>
  <c r="F182" i="8"/>
  <c r="E182" i="8" a="1"/>
  <c r="E182" i="8" s="1"/>
  <c r="D182" i="8" a="1"/>
  <c r="D182" i="8" s="1"/>
  <c r="C182" i="8" a="1"/>
  <c r="C182" i="8" s="1"/>
  <c r="F181" i="8"/>
  <c r="E181" i="8" a="1"/>
  <c r="E181" i="8" s="1"/>
  <c r="D181" i="8" a="1"/>
  <c r="D181" i="8" s="1"/>
  <c r="C181" i="8" a="1"/>
  <c r="C181" i="8" s="1"/>
  <c r="F180" i="8"/>
  <c r="E180" i="8" a="1"/>
  <c r="E180" i="8" s="1"/>
  <c r="D180" i="8" a="1"/>
  <c r="D180" i="8" s="1"/>
  <c r="C180" i="8" a="1"/>
  <c r="C180" i="8" s="1"/>
  <c r="F179" i="8"/>
  <c r="E179" i="8" a="1"/>
  <c r="E179" i="8" s="1"/>
  <c r="D179" i="8" a="1"/>
  <c r="D179" i="8" s="1"/>
  <c r="C179" i="8" a="1"/>
  <c r="C179" i="8" s="1"/>
  <c r="F178" i="8"/>
  <c r="E178" i="8" a="1"/>
  <c r="E178" i="8" s="1"/>
  <c r="D178" i="8" a="1"/>
  <c r="D178" i="8" s="1"/>
  <c r="C178" i="8" a="1"/>
  <c r="C178" i="8" s="1"/>
  <c r="F177" i="8"/>
  <c r="E177" i="8" a="1"/>
  <c r="E177" i="8" s="1"/>
  <c r="D177" i="8" a="1"/>
  <c r="D177" i="8" s="1"/>
  <c r="C177" i="8" a="1"/>
  <c r="C177" i="8" s="1"/>
  <c r="F176" i="8"/>
  <c r="E176" i="8" a="1"/>
  <c r="E176" i="8" s="1"/>
  <c r="D176" i="8" a="1"/>
  <c r="D176" i="8" s="1"/>
  <c r="C176" i="8" a="1"/>
  <c r="C176" i="8" s="1"/>
  <c r="F175" i="8"/>
  <c r="E175" i="8" a="1"/>
  <c r="E175" i="8" s="1"/>
  <c r="D175" i="8" a="1"/>
  <c r="D175" i="8" s="1"/>
  <c r="C175" i="8" a="1"/>
  <c r="C175" i="8" s="1"/>
  <c r="F174" i="8"/>
  <c r="E174" i="8" a="1"/>
  <c r="E174" i="8" s="1"/>
  <c r="D174" i="8" a="1"/>
  <c r="D174" i="8" s="1"/>
  <c r="C174" i="8" a="1"/>
  <c r="C174" i="8" s="1"/>
  <c r="F173" i="8"/>
  <c r="E173" i="8" a="1"/>
  <c r="E173" i="8" s="1"/>
  <c r="D173" i="8" a="1"/>
  <c r="D173" i="8" s="1"/>
  <c r="C173" i="8" a="1"/>
  <c r="C173" i="8" s="1"/>
  <c r="F172" i="8"/>
  <c r="E172" i="8" a="1"/>
  <c r="E172" i="8" s="1"/>
  <c r="D172" i="8" a="1"/>
  <c r="D172" i="8" s="1"/>
  <c r="C172" i="8" a="1"/>
  <c r="C172" i="8" s="1"/>
  <c r="F171" i="8"/>
  <c r="E171" i="8" a="1"/>
  <c r="E171" i="8" s="1"/>
  <c r="D171" i="8" a="1"/>
  <c r="D171" i="8" s="1"/>
  <c r="C171" i="8" a="1"/>
  <c r="C171" i="8" s="1"/>
  <c r="F170" i="8"/>
  <c r="E170" i="8" a="1"/>
  <c r="E170" i="8" s="1"/>
  <c r="D170" i="8" a="1"/>
  <c r="D170" i="8" s="1"/>
  <c r="C170" i="8" a="1"/>
  <c r="C170" i="8" s="1"/>
  <c r="F169" i="8"/>
  <c r="E169" i="8" a="1"/>
  <c r="E169" i="8" s="1"/>
  <c r="D169" i="8" a="1"/>
  <c r="D169" i="8" s="1"/>
  <c r="C169" i="8" a="1"/>
  <c r="C169" i="8" s="1"/>
  <c r="F168" i="8"/>
  <c r="E168" i="8" a="1"/>
  <c r="E168" i="8" s="1"/>
  <c r="D168" i="8" a="1"/>
  <c r="D168" i="8" s="1"/>
  <c r="C168" i="8" a="1"/>
  <c r="C168" i="8" s="1"/>
  <c r="F167" i="8"/>
  <c r="E167" i="8" a="1"/>
  <c r="E167" i="8" s="1"/>
  <c r="D167" i="8" a="1"/>
  <c r="D167" i="8" s="1"/>
  <c r="C167" i="8" a="1"/>
  <c r="C167" i="8" s="1"/>
  <c r="F166" i="8"/>
  <c r="E166" i="8" a="1"/>
  <c r="E166" i="8" s="1"/>
  <c r="D166" i="8" a="1"/>
  <c r="D166" i="8" s="1"/>
  <c r="C166" i="8" a="1"/>
  <c r="C166" i="8" s="1"/>
  <c r="F165" i="8"/>
  <c r="E165" i="8" a="1"/>
  <c r="E165" i="8" s="1"/>
  <c r="D165" i="8" a="1"/>
  <c r="D165" i="8" s="1"/>
  <c r="C165" i="8" a="1"/>
  <c r="C165" i="8" s="1"/>
  <c r="F164" i="8"/>
  <c r="E164" i="8" a="1"/>
  <c r="E164" i="8" s="1"/>
  <c r="D164" i="8" a="1"/>
  <c r="D164" i="8" s="1"/>
  <c r="C164" i="8" a="1"/>
  <c r="C164" i="8" s="1"/>
  <c r="F163" i="8"/>
  <c r="E163" i="8" a="1"/>
  <c r="E163" i="8" s="1"/>
  <c r="D163" i="8" a="1"/>
  <c r="D163" i="8" s="1"/>
  <c r="C163" i="8" a="1"/>
  <c r="C163" i="8" s="1"/>
  <c r="F162" i="8"/>
  <c r="E162" i="8" a="1"/>
  <c r="E162" i="8" s="1"/>
  <c r="D162" i="8" a="1"/>
  <c r="D162" i="8" s="1"/>
  <c r="C162" i="8" a="1"/>
  <c r="C162" i="8" s="1"/>
  <c r="F161" i="8"/>
  <c r="E161" i="8" a="1"/>
  <c r="E161" i="8" s="1"/>
  <c r="D161" i="8" a="1"/>
  <c r="D161" i="8" s="1"/>
  <c r="C161" i="8" a="1"/>
  <c r="C161" i="8" s="1"/>
  <c r="F160" i="8"/>
  <c r="E160" i="8" a="1"/>
  <c r="E160" i="8" s="1"/>
  <c r="D160" i="8" a="1"/>
  <c r="D160" i="8" s="1"/>
  <c r="C160" i="8" a="1"/>
  <c r="C160" i="8" s="1"/>
  <c r="F159" i="8"/>
  <c r="E159" i="8" a="1"/>
  <c r="E159" i="8" s="1"/>
  <c r="D159" i="8" a="1"/>
  <c r="D159" i="8" s="1"/>
  <c r="C159" i="8" a="1"/>
  <c r="C159" i="8" s="1"/>
  <c r="F158" i="8"/>
  <c r="E158" i="8" a="1"/>
  <c r="E158" i="8" s="1"/>
  <c r="D158" i="8" a="1"/>
  <c r="D158" i="8" s="1"/>
  <c r="C158" i="8" a="1"/>
  <c r="C158" i="8" s="1"/>
  <c r="F157" i="8"/>
  <c r="E157" i="8" a="1"/>
  <c r="E157" i="8" s="1"/>
  <c r="D157" i="8" a="1"/>
  <c r="D157" i="8" s="1"/>
  <c r="C157" i="8" a="1"/>
  <c r="C157" i="8" s="1"/>
  <c r="F156" i="8"/>
  <c r="E156" i="8" a="1"/>
  <c r="E156" i="8" s="1"/>
  <c r="D156" i="8" a="1"/>
  <c r="D156" i="8" s="1"/>
  <c r="C156" i="8" a="1"/>
  <c r="C156" i="8" s="1"/>
  <c r="F155" i="8"/>
  <c r="E155" i="8" a="1"/>
  <c r="E155" i="8" s="1"/>
  <c r="D155" i="8" a="1"/>
  <c r="D155" i="8" s="1"/>
  <c r="C155" i="8" a="1"/>
  <c r="C155" i="8" s="1"/>
  <c r="F154" i="8"/>
  <c r="E154" i="8" a="1"/>
  <c r="E154" i="8" s="1"/>
  <c r="D154" i="8" a="1"/>
  <c r="D154" i="8" s="1"/>
  <c r="C154" i="8" a="1"/>
  <c r="C154" i="8" s="1"/>
  <c r="F153" i="8"/>
  <c r="E153" i="8" a="1"/>
  <c r="E153" i="8" s="1"/>
  <c r="D153" i="8" a="1"/>
  <c r="D153" i="8" s="1"/>
  <c r="C153" i="8" a="1"/>
  <c r="C153" i="8" s="1"/>
  <c r="F152" i="8"/>
  <c r="E152" i="8" a="1"/>
  <c r="E152" i="8" s="1"/>
  <c r="D152" i="8" a="1"/>
  <c r="D152" i="8" s="1"/>
  <c r="C152" i="8" a="1"/>
  <c r="C152" i="8" s="1"/>
  <c r="F151" i="8"/>
  <c r="E151" i="8" a="1"/>
  <c r="E151" i="8" s="1"/>
  <c r="D151" i="8" a="1"/>
  <c r="D151" i="8" s="1"/>
  <c r="C151" i="8" a="1"/>
  <c r="C151" i="8" s="1"/>
  <c r="F150" i="8"/>
  <c r="E150" i="8" a="1"/>
  <c r="E150" i="8" s="1"/>
  <c r="D150" i="8" a="1"/>
  <c r="D150" i="8" s="1"/>
  <c r="C150" i="8" a="1"/>
  <c r="C150" i="8" s="1"/>
  <c r="F149" i="8"/>
  <c r="E149" i="8" a="1"/>
  <c r="E149" i="8" s="1"/>
  <c r="D149" i="8" a="1"/>
  <c r="D149" i="8" s="1"/>
  <c r="C149" i="8" a="1"/>
  <c r="C149" i="8" s="1"/>
  <c r="F148" i="8"/>
  <c r="E148" i="8" a="1"/>
  <c r="E148" i="8" s="1"/>
  <c r="D148" i="8" a="1"/>
  <c r="D148" i="8" s="1"/>
  <c r="C148" i="8" a="1"/>
  <c r="C148" i="8" s="1"/>
  <c r="F147" i="8"/>
  <c r="E147" i="8" a="1"/>
  <c r="E147" i="8" s="1"/>
  <c r="D147" i="8" a="1"/>
  <c r="D147" i="8" s="1"/>
  <c r="C147" i="8" a="1"/>
  <c r="C147" i="8" s="1"/>
  <c r="F146" i="8"/>
  <c r="E146" i="8" a="1"/>
  <c r="E146" i="8" s="1"/>
  <c r="D146" i="8" a="1"/>
  <c r="D146" i="8" s="1"/>
  <c r="C146" i="8" a="1"/>
  <c r="C146" i="8" s="1"/>
  <c r="F145" i="8"/>
  <c r="E145" i="8" a="1"/>
  <c r="E145" i="8" s="1"/>
  <c r="D145" i="8" a="1"/>
  <c r="D145" i="8" s="1"/>
  <c r="C145" i="8" a="1"/>
  <c r="C145" i="8" s="1"/>
  <c r="F144" i="8"/>
  <c r="E144" i="8" a="1"/>
  <c r="E144" i="8" s="1"/>
  <c r="D144" i="8" a="1"/>
  <c r="D144" i="8" s="1"/>
  <c r="C144" i="8" a="1"/>
  <c r="C144" i="8" s="1"/>
  <c r="F143" i="8"/>
  <c r="E143" i="8" a="1"/>
  <c r="E143" i="8" s="1"/>
  <c r="D143" i="8" a="1"/>
  <c r="D143" i="8" s="1"/>
  <c r="C143" i="8" a="1"/>
  <c r="C143" i="8" s="1"/>
  <c r="F142" i="8"/>
  <c r="E142" i="8" a="1"/>
  <c r="E142" i="8" s="1"/>
  <c r="D142" i="8" a="1"/>
  <c r="D142" i="8" s="1"/>
  <c r="C142" i="8" a="1"/>
  <c r="C142" i="8" s="1"/>
  <c r="F141" i="8"/>
  <c r="E141" i="8" a="1"/>
  <c r="E141" i="8" s="1"/>
  <c r="D141" i="8" a="1"/>
  <c r="D141" i="8" s="1"/>
  <c r="C141" i="8" a="1"/>
  <c r="C141" i="8" s="1"/>
  <c r="F140" i="8"/>
  <c r="E140" i="8" a="1"/>
  <c r="E140" i="8" s="1"/>
  <c r="D140" i="8" a="1"/>
  <c r="D140" i="8" s="1"/>
  <c r="C140" i="8" a="1"/>
  <c r="C140" i="8" s="1"/>
  <c r="F139" i="8"/>
  <c r="E139" i="8" a="1"/>
  <c r="E139" i="8" s="1"/>
  <c r="D139" i="8" a="1"/>
  <c r="D139" i="8" s="1"/>
  <c r="C139" i="8" a="1"/>
  <c r="C139" i="8" s="1"/>
  <c r="F138" i="8"/>
  <c r="E138" i="8" a="1"/>
  <c r="E138" i="8" s="1"/>
  <c r="D138" i="8" a="1"/>
  <c r="D138" i="8" s="1"/>
  <c r="C138" i="8" a="1"/>
  <c r="C138" i="8" s="1"/>
  <c r="F137" i="8"/>
  <c r="E137" i="8" a="1"/>
  <c r="E137" i="8" s="1"/>
  <c r="D137" i="8" a="1"/>
  <c r="D137" i="8" s="1"/>
  <c r="C137" i="8" a="1"/>
  <c r="C137" i="8" s="1"/>
  <c r="F136" i="8"/>
  <c r="E136" i="8" a="1"/>
  <c r="E136" i="8" s="1"/>
  <c r="D136" i="8" a="1"/>
  <c r="D136" i="8" s="1"/>
  <c r="C136" i="8" a="1"/>
  <c r="C136" i="8" s="1"/>
  <c r="F135" i="8"/>
  <c r="E135" i="8" a="1"/>
  <c r="E135" i="8" s="1"/>
  <c r="D135" i="8" a="1"/>
  <c r="D135" i="8" s="1"/>
  <c r="C135" i="8" a="1"/>
  <c r="C135" i="8" s="1"/>
  <c r="F134" i="8"/>
  <c r="E134" i="8" a="1"/>
  <c r="E134" i="8" s="1"/>
  <c r="D134" i="8" a="1"/>
  <c r="D134" i="8" s="1"/>
  <c r="C134" i="8" a="1"/>
  <c r="C134" i="8" s="1"/>
  <c r="F133" i="8"/>
  <c r="E133" i="8" a="1"/>
  <c r="E133" i="8" s="1"/>
  <c r="D133" i="8" a="1"/>
  <c r="D133" i="8" s="1"/>
  <c r="C133" i="8" a="1"/>
  <c r="C133" i="8" s="1"/>
  <c r="F132" i="8"/>
  <c r="E132" i="8" a="1"/>
  <c r="E132" i="8" s="1"/>
  <c r="D132" i="8" a="1"/>
  <c r="D132" i="8" s="1"/>
  <c r="C132" i="8" a="1"/>
  <c r="C132" i="8" s="1"/>
  <c r="F131" i="8"/>
  <c r="E131" i="8" a="1"/>
  <c r="E131" i="8" s="1"/>
  <c r="D131" i="8" a="1"/>
  <c r="D131" i="8" s="1"/>
  <c r="C131" i="8" a="1"/>
  <c r="C131" i="8" s="1"/>
  <c r="F130" i="8"/>
  <c r="E130" i="8" a="1"/>
  <c r="E130" i="8" s="1"/>
  <c r="D130" i="8" a="1"/>
  <c r="D130" i="8" s="1"/>
  <c r="C130" i="8" a="1"/>
  <c r="C130" i="8" s="1"/>
  <c r="F129" i="8"/>
  <c r="E129" i="8" a="1"/>
  <c r="E129" i="8" s="1"/>
  <c r="D129" i="8" a="1"/>
  <c r="D129" i="8" s="1"/>
  <c r="C129" i="8" a="1"/>
  <c r="C129" i="8" s="1"/>
  <c r="F128" i="8"/>
  <c r="E128" i="8" a="1"/>
  <c r="E128" i="8" s="1"/>
  <c r="D128" i="8" a="1"/>
  <c r="D128" i="8" s="1"/>
  <c r="C128" i="8" a="1"/>
  <c r="C128" i="8" s="1"/>
  <c r="F127" i="8"/>
  <c r="E127" i="8" a="1"/>
  <c r="E127" i="8" s="1"/>
  <c r="D127" i="8" a="1"/>
  <c r="D127" i="8" s="1"/>
  <c r="C127" i="8" a="1"/>
  <c r="C127" i="8" s="1"/>
  <c r="F126" i="8"/>
  <c r="E126" i="8" a="1"/>
  <c r="E126" i="8" s="1"/>
  <c r="D126" i="8" a="1"/>
  <c r="D126" i="8" s="1"/>
  <c r="C126" i="8" a="1"/>
  <c r="C126" i="8" s="1"/>
  <c r="F125" i="8"/>
  <c r="E125" i="8" a="1"/>
  <c r="E125" i="8" s="1"/>
  <c r="D125" i="8" a="1"/>
  <c r="D125" i="8" s="1"/>
  <c r="C125" i="8" a="1"/>
  <c r="C125" i="8" s="1"/>
  <c r="F124" i="8"/>
  <c r="E124" i="8" a="1"/>
  <c r="E124" i="8" s="1"/>
  <c r="D124" i="8" a="1"/>
  <c r="D124" i="8" s="1"/>
  <c r="C124" i="8" a="1"/>
  <c r="C124" i="8" s="1"/>
  <c r="F123" i="8"/>
  <c r="E123" i="8" a="1"/>
  <c r="E123" i="8" s="1"/>
  <c r="D123" i="8" a="1"/>
  <c r="D123" i="8" s="1"/>
  <c r="C123" i="8" a="1"/>
  <c r="C123" i="8" s="1"/>
  <c r="F122" i="8"/>
  <c r="E122" i="8" a="1"/>
  <c r="E122" i="8" s="1"/>
  <c r="D122" i="8" a="1"/>
  <c r="D122" i="8" s="1"/>
  <c r="C122" i="8" a="1"/>
  <c r="C122" i="8" s="1"/>
  <c r="F121" i="8"/>
  <c r="E121" i="8" a="1"/>
  <c r="E121" i="8" s="1"/>
  <c r="D121" i="8" a="1"/>
  <c r="D121" i="8" s="1"/>
  <c r="C121" i="8" a="1"/>
  <c r="C121" i="8" s="1"/>
  <c r="F120" i="8"/>
  <c r="E120" i="8" a="1"/>
  <c r="E120" i="8" s="1"/>
  <c r="D120" i="8" a="1"/>
  <c r="D120" i="8" s="1"/>
  <c r="C120" i="8" a="1"/>
  <c r="C120" i="8" s="1"/>
  <c r="F119" i="8"/>
  <c r="E119" i="8" a="1"/>
  <c r="E119" i="8" s="1"/>
  <c r="D119" i="8" a="1"/>
  <c r="D119" i="8" s="1"/>
  <c r="C119" i="8" a="1"/>
  <c r="C119" i="8" s="1"/>
  <c r="F118" i="8"/>
  <c r="E118" i="8" a="1"/>
  <c r="E118" i="8" s="1"/>
  <c r="D118" i="8" a="1"/>
  <c r="D118" i="8" s="1"/>
  <c r="C118" i="8" a="1"/>
  <c r="C118" i="8" s="1"/>
  <c r="F117" i="8"/>
  <c r="E117" i="8" a="1"/>
  <c r="E117" i="8" s="1"/>
  <c r="D117" i="8" a="1"/>
  <c r="D117" i="8" s="1"/>
  <c r="C117" i="8" a="1"/>
  <c r="C117" i="8" s="1"/>
  <c r="F116" i="8"/>
  <c r="E116" i="8" a="1"/>
  <c r="E116" i="8" s="1"/>
  <c r="D116" i="8" a="1"/>
  <c r="D116" i="8" s="1"/>
  <c r="C116" i="8" a="1"/>
  <c r="C116" i="8" s="1"/>
  <c r="F115" i="8"/>
  <c r="E115" i="8" a="1"/>
  <c r="E115" i="8" s="1"/>
  <c r="D115" i="8" a="1"/>
  <c r="D115" i="8" s="1"/>
  <c r="C115" i="8" a="1"/>
  <c r="C115" i="8" s="1"/>
  <c r="F114" i="8"/>
  <c r="E114" i="8" a="1"/>
  <c r="E114" i="8" s="1"/>
  <c r="D114" i="8" a="1"/>
  <c r="D114" i="8" s="1"/>
  <c r="C114" i="8" a="1"/>
  <c r="C114" i="8" s="1"/>
  <c r="F113" i="8"/>
  <c r="E113" i="8" a="1"/>
  <c r="E113" i="8" s="1"/>
  <c r="D113" i="8" a="1"/>
  <c r="D113" i="8" s="1"/>
  <c r="C113" i="8" a="1"/>
  <c r="C113" i="8" s="1"/>
  <c r="F112" i="8"/>
  <c r="E112" i="8" a="1"/>
  <c r="E112" i="8" s="1"/>
  <c r="D112" i="8" a="1"/>
  <c r="D112" i="8" s="1"/>
  <c r="C112" i="8" a="1"/>
  <c r="C112" i="8" s="1"/>
  <c r="F111" i="8"/>
  <c r="E111" i="8" a="1"/>
  <c r="E111" i="8" s="1"/>
  <c r="D111" i="8" a="1"/>
  <c r="D111" i="8" s="1"/>
  <c r="C111" i="8" a="1"/>
  <c r="C111" i="8" s="1"/>
  <c r="F110" i="8"/>
  <c r="E110" i="8" a="1"/>
  <c r="E110" i="8" s="1"/>
  <c r="D110" i="8" a="1"/>
  <c r="D110" i="8" s="1"/>
  <c r="C110" i="8" a="1"/>
  <c r="C110" i="8" s="1"/>
  <c r="F109" i="8"/>
  <c r="E109" i="8" a="1"/>
  <c r="E109" i="8" s="1"/>
  <c r="D109" i="8" a="1"/>
  <c r="D109" i="8" s="1"/>
  <c r="C109" i="8" a="1"/>
  <c r="C109" i="8" s="1"/>
  <c r="F108" i="8"/>
  <c r="E108" i="8" a="1"/>
  <c r="E108" i="8" s="1"/>
  <c r="D108" i="8" a="1"/>
  <c r="D108" i="8" s="1"/>
  <c r="C108" i="8" a="1"/>
  <c r="C108" i="8" s="1"/>
  <c r="F107" i="8"/>
  <c r="E107" i="8" a="1"/>
  <c r="E107" i="8" s="1"/>
  <c r="D107" i="8" a="1"/>
  <c r="D107" i="8" s="1"/>
  <c r="C107" i="8" a="1"/>
  <c r="C107" i="8" s="1"/>
  <c r="F106" i="8"/>
  <c r="E106" i="8" a="1"/>
  <c r="E106" i="8" s="1"/>
  <c r="D106" i="8" a="1"/>
  <c r="D106" i="8" s="1"/>
  <c r="C106" i="8" a="1"/>
  <c r="C106" i="8" s="1"/>
  <c r="F105" i="8"/>
  <c r="E105" i="8" a="1"/>
  <c r="E105" i="8" s="1"/>
  <c r="D105" i="8" a="1"/>
  <c r="D105" i="8" s="1"/>
  <c r="C105" i="8" a="1"/>
  <c r="C105" i="8" s="1"/>
  <c r="F104" i="8"/>
  <c r="E104" i="8" a="1"/>
  <c r="E104" i="8" s="1"/>
  <c r="D104" i="8" a="1"/>
  <c r="D104" i="8" s="1"/>
  <c r="C104" i="8" a="1"/>
  <c r="C104" i="8" s="1"/>
  <c r="F103" i="8"/>
  <c r="E103" i="8" a="1"/>
  <c r="E103" i="8" s="1"/>
  <c r="D103" i="8" a="1"/>
  <c r="D103" i="8" s="1"/>
  <c r="C103" i="8" a="1"/>
  <c r="C103" i="8" s="1"/>
  <c r="F102" i="8"/>
  <c r="E102" i="8" a="1"/>
  <c r="E102" i="8" s="1"/>
  <c r="D102" i="8" a="1"/>
  <c r="D102" i="8" s="1"/>
  <c r="C102" i="8" a="1"/>
  <c r="C102" i="8" s="1"/>
  <c r="F101" i="8"/>
  <c r="E101" i="8" a="1"/>
  <c r="E101" i="8" s="1"/>
  <c r="D101" i="8" a="1"/>
  <c r="D101" i="8" s="1"/>
  <c r="C101" i="8" a="1"/>
  <c r="C101" i="8" s="1"/>
  <c r="F100" i="8"/>
  <c r="E100" i="8" a="1"/>
  <c r="E100" i="8" s="1"/>
  <c r="D100" i="8" a="1"/>
  <c r="D100" i="8" s="1"/>
  <c r="C100" i="8" a="1"/>
  <c r="C100" i="8" s="1"/>
  <c r="F99" i="8"/>
  <c r="E99" i="8" a="1"/>
  <c r="E99" i="8" s="1"/>
  <c r="D99" i="8" a="1"/>
  <c r="D99" i="8" s="1"/>
  <c r="C99" i="8" a="1"/>
  <c r="C99" i="8" s="1"/>
  <c r="F98" i="8"/>
  <c r="E98" i="8" a="1"/>
  <c r="E98" i="8" s="1"/>
  <c r="D98" i="8" a="1"/>
  <c r="D98" i="8" s="1"/>
  <c r="C98" i="8" a="1"/>
  <c r="C98" i="8" s="1"/>
  <c r="F97" i="8"/>
  <c r="E97" i="8" a="1"/>
  <c r="E97" i="8" s="1"/>
  <c r="D97" i="8" a="1"/>
  <c r="D97" i="8" s="1"/>
  <c r="C97" i="8" a="1"/>
  <c r="C97" i="8" s="1"/>
  <c r="F96" i="8"/>
  <c r="E96" i="8" a="1"/>
  <c r="E96" i="8" s="1"/>
  <c r="D96" i="8" a="1"/>
  <c r="D96" i="8" s="1"/>
  <c r="C96" i="8" a="1"/>
  <c r="C96" i="8" s="1"/>
  <c r="F95" i="8"/>
  <c r="E95" i="8" a="1"/>
  <c r="E95" i="8" s="1"/>
  <c r="D95" i="8" a="1"/>
  <c r="D95" i="8" s="1"/>
  <c r="C95" i="8" a="1"/>
  <c r="C95" i="8" s="1"/>
  <c r="F94" i="8"/>
  <c r="E94" i="8" a="1"/>
  <c r="E94" i="8" s="1"/>
  <c r="D94" i="8" a="1"/>
  <c r="D94" i="8" s="1"/>
  <c r="C94" i="8" a="1"/>
  <c r="C94" i="8" s="1"/>
  <c r="F93" i="8"/>
  <c r="E93" i="8" a="1"/>
  <c r="E93" i="8" s="1"/>
  <c r="D93" i="8" a="1"/>
  <c r="D93" i="8" s="1"/>
  <c r="C93" i="8" a="1"/>
  <c r="C93" i="8" s="1"/>
  <c r="F92" i="8"/>
  <c r="E92" i="8" a="1"/>
  <c r="E92" i="8" s="1"/>
  <c r="D92" i="8" a="1"/>
  <c r="D92" i="8" s="1"/>
  <c r="C92" i="8" a="1"/>
  <c r="C92" i="8" s="1"/>
  <c r="F91" i="8"/>
  <c r="E91" i="8" a="1"/>
  <c r="E91" i="8" s="1"/>
  <c r="D91" i="8" a="1"/>
  <c r="D91" i="8" s="1"/>
  <c r="C91" i="8" a="1"/>
  <c r="C91" i="8" s="1"/>
  <c r="F90" i="8"/>
  <c r="E90" i="8" a="1"/>
  <c r="E90" i="8" s="1"/>
  <c r="D90" i="8" a="1"/>
  <c r="D90" i="8" s="1"/>
  <c r="C90" i="8" a="1"/>
  <c r="C90" i="8" s="1"/>
  <c r="F89" i="8"/>
  <c r="E89" i="8" a="1"/>
  <c r="E89" i="8" s="1"/>
  <c r="D89" i="8" a="1"/>
  <c r="D89" i="8" s="1"/>
  <c r="C89" i="8" a="1"/>
  <c r="C89" i="8" s="1"/>
  <c r="F88" i="8"/>
  <c r="E88" i="8" a="1"/>
  <c r="E88" i="8" s="1"/>
  <c r="D88" i="8" a="1"/>
  <c r="D88" i="8" s="1"/>
  <c r="C88" i="8" a="1"/>
  <c r="C88" i="8" s="1"/>
  <c r="F87" i="8"/>
  <c r="E87" i="8" a="1"/>
  <c r="E87" i="8" s="1"/>
  <c r="D87" i="8" a="1"/>
  <c r="D87" i="8" s="1"/>
  <c r="C87" i="8" a="1"/>
  <c r="C87" i="8" s="1"/>
  <c r="F86" i="8"/>
  <c r="E86" i="8" a="1"/>
  <c r="E86" i="8" s="1"/>
  <c r="D86" i="8" a="1"/>
  <c r="D86" i="8" s="1"/>
  <c r="C86" i="8" a="1"/>
  <c r="C86" i="8" s="1"/>
  <c r="F85" i="8"/>
  <c r="E85" i="8" a="1"/>
  <c r="E85" i="8" s="1"/>
  <c r="D85" i="8" a="1"/>
  <c r="D85" i="8" s="1"/>
  <c r="C85" i="8" a="1"/>
  <c r="C85" i="8" s="1"/>
  <c r="F84" i="8"/>
  <c r="E84" i="8" a="1"/>
  <c r="E84" i="8" s="1"/>
  <c r="D84" i="8" a="1"/>
  <c r="D84" i="8" s="1"/>
  <c r="C84" i="8" a="1"/>
  <c r="C84" i="8" s="1"/>
  <c r="F83" i="8"/>
  <c r="E83" i="8" a="1"/>
  <c r="E83" i="8" s="1"/>
  <c r="D83" i="8" a="1"/>
  <c r="D83" i="8" s="1"/>
  <c r="C83" i="8" a="1"/>
  <c r="C83" i="8" s="1"/>
  <c r="F82" i="8"/>
  <c r="E82" i="8" a="1"/>
  <c r="E82" i="8" s="1"/>
  <c r="D82" i="8" a="1"/>
  <c r="D82" i="8" s="1"/>
  <c r="C82" i="8" a="1"/>
  <c r="C82" i="8" s="1"/>
  <c r="F81" i="8"/>
  <c r="E81" i="8" a="1"/>
  <c r="E81" i="8" s="1"/>
  <c r="D81" i="8" a="1"/>
  <c r="D81" i="8" s="1"/>
  <c r="C81" i="8" a="1"/>
  <c r="C81" i="8" s="1"/>
  <c r="F80" i="8"/>
  <c r="E80" i="8" a="1"/>
  <c r="E80" i="8" s="1"/>
  <c r="D80" i="8" a="1"/>
  <c r="D80" i="8" s="1"/>
  <c r="C80" i="8" a="1"/>
  <c r="C80" i="8" s="1"/>
  <c r="F79" i="8"/>
  <c r="E79" i="8" a="1"/>
  <c r="E79" i="8" s="1"/>
  <c r="D79" i="8" a="1"/>
  <c r="D79" i="8" s="1"/>
  <c r="C79" i="8" a="1"/>
  <c r="C79" i="8" s="1"/>
  <c r="F78" i="8"/>
  <c r="E78" i="8" a="1"/>
  <c r="E78" i="8" s="1"/>
  <c r="D78" i="8" a="1"/>
  <c r="D78" i="8" s="1"/>
  <c r="C78" i="8" a="1"/>
  <c r="C78" i="8" s="1"/>
  <c r="F77" i="8"/>
  <c r="E77" i="8" a="1"/>
  <c r="E77" i="8" s="1"/>
  <c r="D77" i="8" a="1"/>
  <c r="D77" i="8" s="1"/>
  <c r="C77" i="8" a="1"/>
  <c r="C77" i="8" s="1"/>
  <c r="F76" i="8"/>
  <c r="E76" i="8" a="1"/>
  <c r="E76" i="8" s="1"/>
  <c r="D76" i="8" a="1"/>
  <c r="D76" i="8" s="1"/>
  <c r="C76" i="8" a="1"/>
  <c r="C76" i="8" s="1"/>
  <c r="F75" i="8"/>
  <c r="E75" i="8" a="1"/>
  <c r="E75" i="8" s="1"/>
  <c r="D75" i="8" a="1"/>
  <c r="D75" i="8" s="1"/>
  <c r="C75" i="8" a="1"/>
  <c r="C75" i="8" s="1"/>
  <c r="F74" i="8"/>
  <c r="E74" i="8" a="1"/>
  <c r="E74" i="8" s="1"/>
  <c r="D74" i="8" a="1"/>
  <c r="D74" i="8" s="1"/>
  <c r="C74" i="8" a="1"/>
  <c r="C74" i="8" s="1"/>
  <c r="F73" i="8"/>
  <c r="E73" i="8" a="1"/>
  <c r="E73" i="8" s="1"/>
  <c r="D73" i="8" a="1"/>
  <c r="D73" i="8" s="1"/>
  <c r="C73" i="8" a="1"/>
  <c r="C73" i="8" s="1"/>
  <c r="F72" i="8"/>
  <c r="E72" i="8" a="1"/>
  <c r="E72" i="8" s="1"/>
  <c r="D72" i="8" a="1"/>
  <c r="D72" i="8" s="1"/>
  <c r="C72" i="8" a="1"/>
  <c r="C72" i="8" s="1"/>
  <c r="F71" i="8"/>
  <c r="E71" i="8" a="1"/>
  <c r="E71" i="8" s="1"/>
  <c r="D71" i="8" a="1"/>
  <c r="D71" i="8" s="1"/>
  <c r="C71" i="8" a="1"/>
  <c r="C71" i="8" s="1"/>
  <c r="F70" i="8"/>
  <c r="E70" i="8" a="1"/>
  <c r="E70" i="8" s="1"/>
  <c r="D70" i="8" a="1"/>
  <c r="D70" i="8" s="1"/>
  <c r="C70" i="8" a="1"/>
  <c r="C70" i="8" s="1"/>
  <c r="F69" i="8"/>
  <c r="E69" i="8" a="1"/>
  <c r="E69" i="8" s="1"/>
  <c r="D69" i="8" a="1"/>
  <c r="D69" i="8" s="1"/>
  <c r="C69" i="8" a="1"/>
  <c r="C69" i="8" s="1"/>
  <c r="F68" i="8"/>
  <c r="E68" i="8" a="1"/>
  <c r="E68" i="8" s="1"/>
  <c r="D68" i="8" a="1"/>
  <c r="D68" i="8" s="1"/>
  <c r="C68" i="8" a="1"/>
  <c r="C68" i="8" s="1"/>
  <c r="F67" i="8"/>
  <c r="E67" i="8" a="1"/>
  <c r="E67" i="8" s="1"/>
  <c r="D67" i="8" a="1"/>
  <c r="D67" i="8" s="1"/>
  <c r="C67" i="8" a="1"/>
  <c r="C67" i="8" s="1"/>
  <c r="F66" i="8"/>
  <c r="E66" i="8" a="1"/>
  <c r="E66" i="8" s="1"/>
  <c r="D66" i="8" a="1"/>
  <c r="D66" i="8" s="1"/>
  <c r="C66" i="8" a="1"/>
  <c r="C66" i="8" s="1"/>
  <c r="F65" i="8"/>
  <c r="E65" i="8" a="1"/>
  <c r="E65" i="8" s="1"/>
  <c r="D65" i="8" a="1"/>
  <c r="D65" i="8" s="1"/>
  <c r="C65" i="8" a="1"/>
  <c r="C65" i="8" s="1"/>
  <c r="F64" i="8"/>
  <c r="E64" i="8" a="1"/>
  <c r="E64" i="8" s="1"/>
  <c r="D64" i="8" a="1"/>
  <c r="D64" i="8" s="1"/>
  <c r="C64" i="8" a="1"/>
  <c r="C64" i="8" s="1"/>
  <c r="F63" i="8"/>
  <c r="E63" i="8" a="1"/>
  <c r="E63" i="8" s="1"/>
  <c r="D63" i="8" a="1"/>
  <c r="D63" i="8" s="1"/>
  <c r="C63" i="8" a="1"/>
  <c r="C63" i="8" s="1"/>
  <c r="F62" i="8"/>
  <c r="E62" i="8" a="1"/>
  <c r="E62" i="8" s="1"/>
  <c r="D62" i="8" a="1"/>
  <c r="D62" i="8" s="1"/>
  <c r="C62" i="8" a="1"/>
  <c r="C62" i="8" s="1"/>
  <c r="F61" i="8"/>
  <c r="E61" i="8" a="1"/>
  <c r="E61" i="8" s="1"/>
  <c r="D61" i="8" a="1"/>
  <c r="D61" i="8" s="1"/>
  <c r="C61" i="8" a="1"/>
  <c r="C61" i="8" s="1"/>
  <c r="F60" i="8"/>
  <c r="E60" i="8" a="1"/>
  <c r="E60" i="8" s="1"/>
  <c r="D60" i="8" a="1"/>
  <c r="D60" i="8" s="1"/>
  <c r="C60" i="8" a="1"/>
  <c r="C60" i="8" s="1"/>
  <c r="F59" i="8"/>
  <c r="E59" i="8" a="1"/>
  <c r="E59" i="8" s="1"/>
  <c r="D59" i="8" a="1"/>
  <c r="D59" i="8" s="1"/>
  <c r="C59" i="8" a="1"/>
  <c r="C59" i="8" s="1"/>
  <c r="F58" i="8"/>
  <c r="E58" i="8" a="1"/>
  <c r="E58" i="8" s="1"/>
  <c r="D58" i="8" a="1"/>
  <c r="D58" i="8" s="1"/>
  <c r="C58" i="8" a="1"/>
  <c r="C58" i="8" s="1"/>
  <c r="F57" i="8"/>
  <c r="E57" i="8" a="1"/>
  <c r="E57" i="8" s="1"/>
  <c r="D57" i="8" a="1"/>
  <c r="D57" i="8" s="1"/>
  <c r="C57" i="8" a="1"/>
  <c r="C57" i="8" s="1"/>
  <c r="F56" i="8"/>
  <c r="E56" i="8" a="1"/>
  <c r="E56" i="8" s="1"/>
  <c r="D56" i="8" a="1"/>
  <c r="D56" i="8" s="1"/>
  <c r="C56" i="8" a="1"/>
  <c r="C56" i="8" s="1"/>
  <c r="F55" i="8"/>
  <c r="E55" i="8" a="1"/>
  <c r="E55" i="8" s="1"/>
  <c r="D55" i="8" a="1"/>
  <c r="D55" i="8" s="1"/>
  <c r="C55" i="8" a="1"/>
  <c r="C55" i="8" s="1"/>
  <c r="F54" i="8"/>
  <c r="E54" i="8" a="1"/>
  <c r="E54" i="8" s="1"/>
  <c r="D54" i="8" a="1"/>
  <c r="D54" i="8" s="1"/>
  <c r="C54" i="8" a="1"/>
  <c r="C54" i="8" s="1"/>
  <c r="F53" i="8"/>
  <c r="E53" i="8" a="1"/>
  <c r="E53" i="8" s="1"/>
  <c r="D53" i="8" a="1"/>
  <c r="D53" i="8" s="1"/>
  <c r="C53" i="8" a="1"/>
  <c r="C53" i="8" s="1"/>
  <c r="F52" i="8"/>
  <c r="E52" i="8" a="1"/>
  <c r="E52" i="8" s="1"/>
  <c r="D52" i="8" a="1"/>
  <c r="D52" i="8" s="1"/>
  <c r="C52" i="8" a="1"/>
  <c r="C52" i="8" s="1"/>
  <c r="F51" i="8"/>
  <c r="E51" i="8" a="1"/>
  <c r="E51" i="8" s="1"/>
  <c r="D51" i="8" a="1"/>
  <c r="D51" i="8" s="1"/>
  <c r="C51" i="8" a="1"/>
  <c r="C51" i="8" s="1"/>
  <c r="F50" i="8"/>
  <c r="E50" i="8" a="1"/>
  <c r="E50" i="8" s="1"/>
  <c r="D50" i="8" a="1"/>
  <c r="D50" i="8" s="1"/>
  <c r="C50" i="8" a="1"/>
  <c r="C50" i="8" s="1"/>
  <c r="F49" i="8"/>
  <c r="E49" i="8" a="1"/>
  <c r="E49" i="8" s="1"/>
  <c r="D49" i="8" a="1"/>
  <c r="D49" i="8" s="1"/>
  <c r="C49" i="8" a="1"/>
  <c r="C49" i="8" s="1"/>
  <c r="F48" i="8"/>
  <c r="E48" i="8" a="1"/>
  <c r="E48" i="8" s="1"/>
  <c r="D48" i="8" a="1"/>
  <c r="D48" i="8" s="1"/>
  <c r="C48" i="8" a="1"/>
  <c r="C48" i="8" s="1"/>
  <c r="F47" i="8"/>
  <c r="E47" i="8" a="1"/>
  <c r="E47" i="8" s="1"/>
  <c r="D47" i="8" a="1"/>
  <c r="D47" i="8" s="1"/>
  <c r="C47" i="8" a="1"/>
  <c r="C47" i="8" s="1"/>
  <c r="F46" i="8"/>
  <c r="E46" i="8" a="1"/>
  <c r="E46" i="8" s="1"/>
  <c r="D46" i="8" a="1"/>
  <c r="D46" i="8" s="1"/>
  <c r="C46" i="8" a="1"/>
  <c r="C46" i="8" s="1"/>
  <c r="F45" i="8"/>
  <c r="E45" i="8" a="1"/>
  <c r="E45" i="8" s="1"/>
  <c r="D45" i="8" a="1"/>
  <c r="D45" i="8" s="1"/>
  <c r="C45" i="8" a="1"/>
  <c r="C45" i="8" s="1"/>
  <c r="F44" i="8"/>
  <c r="E44" i="8" a="1"/>
  <c r="E44" i="8" s="1"/>
  <c r="D44" i="8" a="1"/>
  <c r="D44" i="8" s="1"/>
  <c r="C44" i="8" a="1"/>
  <c r="C44" i="8" s="1"/>
  <c r="F43" i="8"/>
  <c r="E43" i="8" a="1"/>
  <c r="E43" i="8" s="1"/>
  <c r="D43" i="8" a="1"/>
  <c r="D43" i="8" s="1"/>
  <c r="C43" i="8" a="1"/>
  <c r="C43" i="8" s="1"/>
  <c r="F42" i="8"/>
  <c r="E42" i="8" a="1"/>
  <c r="E42" i="8" s="1"/>
  <c r="D42" i="8" a="1"/>
  <c r="D42" i="8" s="1"/>
  <c r="C42" i="8" a="1"/>
  <c r="C42" i="8" s="1"/>
  <c r="F41" i="8"/>
  <c r="E41" i="8" a="1"/>
  <c r="E41" i="8" s="1"/>
  <c r="D41" i="8" a="1"/>
  <c r="D41" i="8" s="1"/>
  <c r="C41" i="8" a="1"/>
  <c r="C41" i="8" s="1"/>
  <c r="F40" i="8"/>
  <c r="E40" i="8" a="1"/>
  <c r="E40" i="8" s="1"/>
  <c r="D40" i="8" a="1"/>
  <c r="D40" i="8" s="1"/>
  <c r="C40" i="8" a="1"/>
  <c r="C40" i="8" s="1"/>
  <c r="F39" i="8"/>
  <c r="E39" i="8" a="1"/>
  <c r="E39" i="8" s="1"/>
  <c r="D39" i="8" a="1"/>
  <c r="D39" i="8" s="1"/>
  <c r="C39" i="8" a="1"/>
  <c r="C39" i="8" s="1"/>
  <c r="F38" i="8"/>
  <c r="E38" i="8" a="1"/>
  <c r="E38" i="8" s="1"/>
  <c r="D38" i="8" a="1"/>
  <c r="D38" i="8" s="1"/>
  <c r="C38" i="8" a="1"/>
  <c r="C38" i="8" s="1"/>
  <c r="F37" i="8"/>
  <c r="E37" i="8" a="1"/>
  <c r="E37" i="8" s="1"/>
  <c r="D37" i="8" a="1"/>
  <c r="D37" i="8" s="1"/>
  <c r="C37" i="8" a="1"/>
  <c r="C37" i="8" s="1"/>
  <c r="F36" i="8"/>
  <c r="E36" i="8" a="1"/>
  <c r="E36" i="8" s="1"/>
  <c r="D36" i="8" a="1"/>
  <c r="D36" i="8" s="1"/>
  <c r="C36" i="8" a="1"/>
  <c r="C36" i="8" s="1"/>
  <c r="F35" i="8"/>
  <c r="E35" i="8" a="1"/>
  <c r="E35" i="8" s="1"/>
  <c r="D35" i="8" a="1"/>
  <c r="D35" i="8" s="1"/>
  <c r="C35" i="8" a="1"/>
  <c r="C35" i="8" s="1"/>
  <c r="F34" i="8"/>
  <c r="E34" i="8" a="1"/>
  <c r="E34" i="8" s="1"/>
  <c r="D34" i="8" a="1"/>
  <c r="D34" i="8" s="1"/>
  <c r="C34" i="8" a="1"/>
  <c r="C34" i="8" s="1"/>
  <c r="F33" i="8"/>
  <c r="E33" i="8" a="1"/>
  <c r="E33" i="8" s="1"/>
  <c r="D33" i="8" a="1"/>
  <c r="D33" i="8" s="1"/>
  <c r="C33" i="8" a="1"/>
  <c r="C33" i="8" s="1"/>
  <c r="F32" i="8"/>
  <c r="E32" i="8" a="1"/>
  <c r="E32" i="8" s="1"/>
  <c r="D32" i="8" a="1"/>
  <c r="D32" i="8" s="1"/>
  <c r="C32" i="8" a="1"/>
  <c r="C32" i="8" s="1"/>
  <c r="F31" i="8"/>
  <c r="E31" i="8" a="1"/>
  <c r="E31" i="8" s="1"/>
  <c r="D31" i="8" a="1"/>
  <c r="D31" i="8" s="1"/>
  <c r="C31" i="8" a="1"/>
  <c r="C31" i="8" s="1"/>
  <c r="F30" i="8"/>
  <c r="E30" i="8" a="1"/>
  <c r="E30" i="8" s="1"/>
  <c r="D30" i="8" a="1"/>
  <c r="D30" i="8" s="1"/>
  <c r="C30" i="8" a="1"/>
  <c r="C30" i="8" s="1"/>
  <c r="F29" i="8"/>
  <c r="E29" i="8" a="1"/>
  <c r="E29" i="8" s="1"/>
  <c r="D29" i="8" a="1"/>
  <c r="D29" i="8" s="1"/>
  <c r="C29" i="8" a="1"/>
  <c r="C29" i="8" s="1"/>
  <c r="F28" i="8"/>
  <c r="E28" i="8" a="1"/>
  <c r="E28" i="8" s="1"/>
  <c r="D28" i="8" a="1"/>
  <c r="D28" i="8" s="1"/>
  <c r="C28" i="8" a="1"/>
  <c r="C28" i="8" s="1"/>
  <c r="F27" i="8"/>
  <c r="E27" i="8" a="1"/>
  <c r="E27" i="8" s="1"/>
  <c r="D27" i="8" a="1"/>
  <c r="D27" i="8" s="1"/>
  <c r="C27" i="8" a="1"/>
  <c r="C27" i="8" s="1"/>
  <c r="F26" i="8"/>
  <c r="E26" i="8" a="1"/>
  <c r="E26" i="8" s="1"/>
  <c r="D26" i="8" a="1"/>
  <c r="D26" i="8" s="1"/>
  <c r="C26" i="8" a="1"/>
  <c r="C26" i="8" s="1"/>
  <c r="F25" i="8"/>
  <c r="E25" i="8" a="1"/>
  <c r="E25" i="8" s="1"/>
  <c r="D25" i="8" a="1"/>
  <c r="D25" i="8" s="1"/>
  <c r="C25" i="8" a="1"/>
  <c r="C25" i="8" s="1"/>
  <c r="F24" i="8"/>
  <c r="E24" i="8" a="1"/>
  <c r="E24" i="8" s="1"/>
  <c r="D24" i="8" a="1"/>
  <c r="D24" i="8" s="1"/>
  <c r="C24" i="8" a="1"/>
  <c r="C24" i="8" s="1"/>
  <c r="F23" i="8"/>
  <c r="E23" i="8" a="1"/>
  <c r="E23" i="8" s="1"/>
  <c r="D23" i="8" a="1"/>
  <c r="D23" i="8" s="1"/>
  <c r="C23" i="8" a="1"/>
  <c r="C23" i="8" s="1"/>
  <c r="F22" i="8"/>
  <c r="E22" i="8" a="1"/>
  <c r="E22" i="8" s="1"/>
  <c r="D22" i="8" a="1"/>
  <c r="D22" i="8" s="1"/>
  <c r="C22" i="8" a="1"/>
  <c r="C22" i="8" s="1"/>
  <c r="F21" i="8"/>
  <c r="E21" i="8" a="1"/>
  <c r="E21" i="8" s="1"/>
  <c r="D21" i="8" a="1"/>
  <c r="D21" i="8" s="1"/>
  <c r="C21" i="8" a="1"/>
  <c r="C21" i="8" s="1"/>
  <c r="F20" i="8"/>
  <c r="E20" i="8" a="1"/>
  <c r="E20" i="8" s="1"/>
  <c r="D20" i="8" a="1"/>
  <c r="D20" i="8" s="1"/>
  <c r="C20" i="8" a="1"/>
  <c r="C20" i="8" s="1"/>
  <c r="F19" i="8"/>
  <c r="E19" i="8" a="1"/>
  <c r="E19" i="8" s="1"/>
  <c r="D19" i="8" a="1"/>
  <c r="D19" i="8" s="1"/>
  <c r="C19" i="8" a="1"/>
  <c r="C19" i="8" s="1"/>
  <c r="F18" i="8"/>
  <c r="E18" i="8" a="1"/>
  <c r="E18" i="8" s="1"/>
  <c r="D18" i="8" a="1"/>
  <c r="D18" i="8" s="1"/>
  <c r="C18" i="8" a="1"/>
  <c r="C18" i="8" s="1"/>
  <c r="F17" i="8"/>
  <c r="E17" i="8" a="1"/>
  <c r="E17" i="8" s="1"/>
  <c r="D17" i="8" a="1"/>
  <c r="D17" i="8" s="1"/>
  <c r="C17" i="8" a="1"/>
  <c r="C17" i="8" s="1"/>
  <c r="F16" i="8"/>
  <c r="E16" i="8" a="1"/>
  <c r="E16" i="8" s="1"/>
  <c r="D16" i="8" a="1"/>
  <c r="D16" i="8" s="1"/>
  <c r="C16" i="8" a="1"/>
  <c r="C16" i="8" s="1"/>
  <c r="F15" i="8"/>
  <c r="E15" i="8" a="1"/>
  <c r="E15" i="8" s="1"/>
  <c r="D15" i="8" a="1"/>
  <c r="D15" i="8" s="1"/>
  <c r="C15" i="8" a="1"/>
  <c r="C15" i="8" s="1"/>
  <c r="F14" i="8"/>
  <c r="E14" i="8" a="1"/>
  <c r="E14" i="8" s="1"/>
  <c r="D14" i="8" a="1"/>
  <c r="D14" i="8" s="1"/>
  <c r="C14" i="8" a="1"/>
  <c r="C14" i="8" s="1"/>
  <c r="F13" i="8"/>
  <c r="E13" i="8" a="1"/>
  <c r="E13" i="8" s="1"/>
  <c r="D13" i="8" a="1"/>
  <c r="D13" i="8" s="1"/>
  <c r="C13" i="8" a="1"/>
  <c r="C13" i="8" s="1"/>
  <c r="F12" i="8"/>
  <c r="E12" i="8" a="1"/>
  <c r="E12" i="8" s="1"/>
  <c r="D12" i="8" a="1"/>
  <c r="D12" i="8" s="1"/>
  <c r="C12" i="8" a="1"/>
  <c r="C12" i="8" s="1"/>
  <c r="F11" i="8"/>
  <c r="E11" i="8" a="1"/>
  <c r="E11" i="8" s="1"/>
  <c r="D11" i="8" a="1"/>
  <c r="D11" i="8" s="1"/>
  <c r="C11" i="8" a="1"/>
  <c r="C11" i="8" s="1"/>
  <c r="F10" i="8"/>
  <c r="E10" i="8" a="1"/>
  <c r="E10" i="8" s="1"/>
  <c r="D10" i="8" a="1"/>
  <c r="D10" i="8" s="1"/>
  <c r="C10" i="8" a="1"/>
  <c r="C10" i="8" s="1"/>
  <c r="F9" i="8"/>
  <c r="E9" i="8" a="1"/>
  <c r="E9" i="8" s="1"/>
  <c r="D9" i="8" a="1"/>
  <c r="D9" i="8" s="1"/>
  <c r="C9" i="8" a="1"/>
  <c r="C9" i="8" s="1"/>
  <c r="F8" i="8"/>
  <c r="E8" i="8" a="1"/>
  <c r="E8" i="8" s="1"/>
  <c r="D8" i="8" a="1"/>
  <c r="D8" i="8" s="1"/>
  <c r="C8" i="8" a="1"/>
  <c r="C8" i="8" s="1"/>
  <c r="F7" i="8"/>
  <c r="E7" i="8" a="1"/>
  <c r="E7" i="8" s="1"/>
  <c r="D7" i="8" a="1"/>
  <c r="D7" i="8" s="1"/>
  <c r="C7" i="8" a="1"/>
  <c r="C7" i="8" s="1"/>
  <c r="F6" i="8"/>
  <c r="E6" i="8" a="1"/>
  <c r="E6" i="8" s="1"/>
  <c r="D6" i="8" a="1"/>
  <c r="D6" i="8" s="1"/>
  <c r="C6" i="8" a="1"/>
  <c r="C6" i="8" s="1"/>
  <c r="F5" i="8"/>
  <c r="E5" i="8" a="1"/>
  <c r="E5" i="8" s="1"/>
  <c r="D5" i="8" a="1"/>
  <c r="D5" i="8" s="1"/>
  <c r="C5" i="8" a="1"/>
  <c r="C5" i="8" s="1"/>
  <c r="F4" i="8"/>
  <c r="E4" i="8" a="1"/>
  <c r="E4" i="8" s="1"/>
  <c r="D4" i="8" a="1"/>
  <c r="D4" i="8" s="1"/>
  <c r="C4" i="8" a="1"/>
  <c r="C4" i="8" s="1"/>
  <c r="F3" i="8"/>
  <c r="E3" i="8" a="1"/>
  <c r="E3" i="8" s="1"/>
  <c r="D3" i="8" a="1"/>
  <c r="D3" i="8" s="1"/>
  <c r="C3" i="8" a="1"/>
  <c r="C3" i="8" s="1"/>
  <c r="F195" i="7"/>
  <c r="E195" i="7" a="1"/>
  <c r="E195" i="7" s="1"/>
  <c r="D195" i="7" a="1"/>
  <c r="D195" i="7" s="1"/>
  <c r="C195" i="7" a="1"/>
  <c r="C195" i="7" s="1"/>
  <c r="F194" i="7"/>
  <c r="E194" i="7" a="1"/>
  <c r="E194" i="7" s="1"/>
  <c r="D194" i="7" a="1"/>
  <c r="D194" i="7" s="1"/>
  <c r="C194" i="7" a="1"/>
  <c r="C194" i="7" s="1"/>
  <c r="F193" i="7"/>
  <c r="E193" i="7" a="1"/>
  <c r="E193" i="7" s="1"/>
  <c r="D193" i="7" a="1"/>
  <c r="D193" i="7" s="1"/>
  <c r="C193" i="7" a="1"/>
  <c r="C193" i="7" s="1"/>
  <c r="F192" i="7"/>
  <c r="E192" i="7" a="1"/>
  <c r="E192" i="7" s="1"/>
  <c r="D192" i="7" a="1"/>
  <c r="D192" i="7" s="1"/>
  <c r="C192" i="7" a="1"/>
  <c r="C192" i="7" s="1"/>
  <c r="F191" i="7"/>
  <c r="E191" i="7" a="1"/>
  <c r="E191" i="7" s="1"/>
  <c r="D191" i="7" a="1"/>
  <c r="D191" i="7" s="1"/>
  <c r="C191" i="7" a="1"/>
  <c r="C191" i="7" s="1"/>
  <c r="F190" i="7"/>
  <c r="E190" i="7" a="1"/>
  <c r="E190" i="7" s="1"/>
  <c r="D190" i="7" a="1"/>
  <c r="D190" i="7" s="1"/>
  <c r="C190" i="7" a="1"/>
  <c r="C190" i="7" s="1"/>
  <c r="F189" i="7"/>
  <c r="E189" i="7" a="1"/>
  <c r="E189" i="7" s="1"/>
  <c r="D189" i="7" a="1"/>
  <c r="D189" i="7" s="1"/>
  <c r="C189" i="7" a="1"/>
  <c r="C189" i="7" s="1"/>
  <c r="F188" i="7"/>
  <c r="E188" i="7" a="1"/>
  <c r="E188" i="7" s="1"/>
  <c r="D188" i="7" a="1"/>
  <c r="D188" i="7" s="1"/>
  <c r="C188" i="7" a="1"/>
  <c r="C188" i="7" s="1"/>
  <c r="F187" i="7"/>
  <c r="E187" i="7" a="1"/>
  <c r="E187" i="7" s="1"/>
  <c r="D187" i="7" a="1"/>
  <c r="D187" i="7" s="1"/>
  <c r="C187" i="7" a="1"/>
  <c r="C187" i="7" s="1"/>
  <c r="F186" i="7"/>
  <c r="E186" i="7" a="1"/>
  <c r="E186" i="7" s="1"/>
  <c r="D186" i="7" a="1"/>
  <c r="D186" i="7" s="1"/>
  <c r="C186" i="7" a="1"/>
  <c r="C186" i="7" s="1"/>
  <c r="F185" i="7"/>
  <c r="E185" i="7" a="1"/>
  <c r="E185" i="7" s="1"/>
  <c r="D185" i="7" a="1"/>
  <c r="D185" i="7" s="1"/>
  <c r="C185" i="7" a="1"/>
  <c r="C185" i="7" s="1"/>
  <c r="F184" i="7"/>
  <c r="E184" i="7" a="1"/>
  <c r="E184" i="7" s="1"/>
  <c r="D184" i="7" a="1"/>
  <c r="D184" i="7" s="1"/>
  <c r="C184" i="7" a="1"/>
  <c r="C184" i="7" s="1"/>
  <c r="F183" i="7"/>
  <c r="E183" i="7" a="1"/>
  <c r="E183" i="7" s="1"/>
  <c r="D183" i="7" a="1"/>
  <c r="D183" i="7" s="1"/>
  <c r="C183" i="7" a="1"/>
  <c r="C183" i="7" s="1"/>
  <c r="F182" i="7"/>
  <c r="E182" i="7" a="1"/>
  <c r="E182" i="7" s="1"/>
  <c r="D182" i="7" a="1"/>
  <c r="D182" i="7" s="1"/>
  <c r="C182" i="7" a="1"/>
  <c r="C182" i="7" s="1"/>
  <c r="F181" i="7"/>
  <c r="E181" i="7" a="1"/>
  <c r="E181" i="7" s="1"/>
  <c r="D181" i="7" a="1"/>
  <c r="D181" i="7" s="1"/>
  <c r="C181" i="7" a="1"/>
  <c r="C181" i="7" s="1"/>
  <c r="F180" i="7"/>
  <c r="E180" i="7" a="1"/>
  <c r="E180" i="7" s="1"/>
  <c r="D180" i="7" a="1"/>
  <c r="D180" i="7" s="1"/>
  <c r="C180" i="7" a="1"/>
  <c r="C180" i="7" s="1"/>
  <c r="F179" i="7"/>
  <c r="E179" i="7" a="1"/>
  <c r="E179" i="7" s="1"/>
  <c r="D179" i="7" a="1"/>
  <c r="D179" i="7" s="1"/>
  <c r="C179" i="7" a="1"/>
  <c r="C179" i="7" s="1"/>
  <c r="F178" i="7"/>
  <c r="E178" i="7" a="1"/>
  <c r="E178" i="7" s="1"/>
  <c r="D178" i="7" a="1"/>
  <c r="D178" i="7" s="1"/>
  <c r="C178" i="7" a="1"/>
  <c r="C178" i="7" s="1"/>
  <c r="F177" i="7"/>
  <c r="E177" i="7" a="1"/>
  <c r="E177" i="7" s="1"/>
  <c r="D177" i="7" a="1"/>
  <c r="D177" i="7" s="1"/>
  <c r="C177" i="7" a="1"/>
  <c r="C177" i="7" s="1"/>
  <c r="F176" i="7"/>
  <c r="E176" i="7" a="1"/>
  <c r="E176" i="7" s="1"/>
  <c r="D176" i="7" a="1"/>
  <c r="D176" i="7" s="1"/>
  <c r="C176" i="7" a="1"/>
  <c r="C176" i="7" s="1"/>
  <c r="F175" i="7"/>
  <c r="E175" i="7" a="1"/>
  <c r="E175" i="7" s="1"/>
  <c r="D175" i="7" a="1"/>
  <c r="D175" i="7" s="1"/>
  <c r="C175" i="7" a="1"/>
  <c r="C175" i="7" s="1"/>
  <c r="F174" i="7"/>
  <c r="E174" i="7" a="1"/>
  <c r="E174" i="7" s="1"/>
  <c r="D174" i="7" a="1"/>
  <c r="D174" i="7" s="1"/>
  <c r="C174" i="7" a="1"/>
  <c r="C174" i="7" s="1"/>
  <c r="F173" i="7"/>
  <c r="E173" i="7" a="1"/>
  <c r="E173" i="7" s="1"/>
  <c r="D173" i="7" a="1"/>
  <c r="D173" i="7" s="1"/>
  <c r="C173" i="7" a="1"/>
  <c r="C173" i="7" s="1"/>
  <c r="F172" i="7"/>
  <c r="E172" i="7" a="1"/>
  <c r="E172" i="7" s="1"/>
  <c r="D172" i="7" a="1"/>
  <c r="D172" i="7" s="1"/>
  <c r="C172" i="7" a="1"/>
  <c r="C172" i="7" s="1"/>
  <c r="F171" i="7"/>
  <c r="E171" i="7" a="1"/>
  <c r="E171" i="7" s="1"/>
  <c r="D171" i="7" a="1"/>
  <c r="D171" i="7" s="1"/>
  <c r="C171" i="7" a="1"/>
  <c r="C171" i="7" s="1"/>
  <c r="F170" i="7"/>
  <c r="E170" i="7" a="1"/>
  <c r="E170" i="7" s="1"/>
  <c r="D170" i="7" a="1"/>
  <c r="D170" i="7" s="1"/>
  <c r="C170" i="7" a="1"/>
  <c r="C170" i="7" s="1"/>
  <c r="F169" i="7"/>
  <c r="E169" i="7" a="1"/>
  <c r="E169" i="7" s="1"/>
  <c r="D169" i="7" a="1"/>
  <c r="D169" i="7" s="1"/>
  <c r="C169" i="7" a="1"/>
  <c r="C169" i="7" s="1"/>
  <c r="F168" i="7"/>
  <c r="E168" i="7" a="1"/>
  <c r="E168" i="7" s="1"/>
  <c r="D168" i="7" a="1"/>
  <c r="D168" i="7" s="1"/>
  <c r="C168" i="7" a="1"/>
  <c r="C168" i="7" s="1"/>
  <c r="F167" i="7"/>
  <c r="E167" i="7" a="1"/>
  <c r="E167" i="7" s="1"/>
  <c r="D167" i="7" a="1"/>
  <c r="D167" i="7" s="1"/>
  <c r="C167" i="7" a="1"/>
  <c r="C167" i="7" s="1"/>
  <c r="F166" i="7"/>
  <c r="E166" i="7" a="1"/>
  <c r="E166" i="7" s="1"/>
  <c r="D166" i="7" a="1"/>
  <c r="D166" i="7" s="1"/>
  <c r="C166" i="7" a="1"/>
  <c r="C166" i="7" s="1"/>
  <c r="F165" i="7"/>
  <c r="E165" i="7" a="1"/>
  <c r="E165" i="7" s="1"/>
  <c r="D165" i="7" a="1"/>
  <c r="D165" i="7" s="1"/>
  <c r="C165" i="7" a="1"/>
  <c r="C165" i="7" s="1"/>
  <c r="F164" i="7"/>
  <c r="E164" i="7" a="1"/>
  <c r="E164" i="7" s="1"/>
  <c r="D164" i="7" a="1"/>
  <c r="D164" i="7" s="1"/>
  <c r="C164" i="7" a="1"/>
  <c r="C164" i="7" s="1"/>
  <c r="F163" i="7"/>
  <c r="E163" i="7" a="1"/>
  <c r="E163" i="7" s="1"/>
  <c r="D163" i="7" a="1"/>
  <c r="D163" i="7" s="1"/>
  <c r="C163" i="7" a="1"/>
  <c r="C163" i="7" s="1"/>
  <c r="F162" i="7"/>
  <c r="E162" i="7" a="1"/>
  <c r="E162" i="7" s="1"/>
  <c r="D162" i="7" a="1"/>
  <c r="D162" i="7" s="1"/>
  <c r="C162" i="7" a="1"/>
  <c r="C162" i="7" s="1"/>
  <c r="F161" i="7"/>
  <c r="E161" i="7" a="1"/>
  <c r="E161" i="7" s="1"/>
  <c r="D161" i="7" a="1"/>
  <c r="D161" i="7" s="1"/>
  <c r="C161" i="7" a="1"/>
  <c r="C161" i="7" s="1"/>
  <c r="F160" i="7"/>
  <c r="E160" i="7" a="1"/>
  <c r="E160" i="7" s="1"/>
  <c r="D160" i="7" a="1"/>
  <c r="D160" i="7" s="1"/>
  <c r="C160" i="7" a="1"/>
  <c r="C160" i="7" s="1"/>
  <c r="F159" i="7"/>
  <c r="E159" i="7" a="1"/>
  <c r="E159" i="7" s="1"/>
  <c r="D159" i="7" a="1"/>
  <c r="D159" i="7" s="1"/>
  <c r="C159" i="7" a="1"/>
  <c r="C159" i="7" s="1"/>
  <c r="F158" i="7"/>
  <c r="E158" i="7" a="1"/>
  <c r="E158" i="7" s="1"/>
  <c r="D158" i="7" a="1"/>
  <c r="D158" i="7" s="1"/>
  <c r="C158" i="7" a="1"/>
  <c r="C158" i="7" s="1"/>
  <c r="F157" i="7"/>
  <c r="E157" i="7" a="1"/>
  <c r="E157" i="7" s="1"/>
  <c r="D157" i="7" a="1"/>
  <c r="D157" i="7" s="1"/>
  <c r="C157" i="7" a="1"/>
  <c r="C157" i="7" s="1"/>
  <c r="F156" i="7"/>
  <c r="E156" i="7" a="1"/>
  <c r="E156" i="7" s="1"/>
  <c r="D156" i="7" a="1"/>
  <c r="D156" i="7" s="1"/>
  <c r="C156" i="7" a="1"/>
  <c r="C156" i="7" s="1"/>
  <c r="F155" i="7"/>
  <c r="E155" i="7" a="1"/>
  <c r="E155" i="7" s="1"/>
  <c r="D155" i="7" a="1"/>
  <c r="D155" i="7" s="1"/>
  <c r="C155" i="7" a="1"/>
  <c r="C155" i="7" s="1"/>
  <c r="F154" i="7"/>
  <c r="E154" i="7" a="1"/>
  <c r="E154" i="7" s="1"/>
  <c r="D154" i="7" a="1"/>
  <c r="D154" i="7" s="1"/>
  <c r="C154" i="7" a="1"/>
  <c r="C154" i="7" s="1"/>
  <c r="F153" i="7"/>
  <c r="E153" i="7" a="1"/>
  <c r="E153" i="7" s="1"/>
  <c r="D153" i="7" a="1"/>
  <c r="D153" i="7" s="1"/>
  <c r="C153" i="7" a="1"/>
  <c r="C153" i="7" s="1"/>
  <c r="F152" i="7"/>
  <c r="E152" i="7" a="1"/>
  <c r="E152" i="7" s="1"/>
  <c r="D152" i="7" a="1"/>
  <c r="D152" i="7" s="1"/>
  <c r="C152" i="7" a="1"/>
  <c r="C152" i="7" s="1"/>
  <c r="F151" i="7"/>
  <c r="E151" i="7" a="1"/>
  <c r="E151" i="7" s="1"/>
  <c r="D151" i="7" a="1"/>
  <c r="D151" i="7" s="1"/>
  <c r="C151" i="7" a="1"/>
  <c r="C151" i="7" s="1"/>
  <c r="F150" i="7"/>
  <c r="E150" i="7" a="1"/>
  <c r="E150" i="7" s="1"/>
  <c r="D150" i="7" a="1"/>
  <c r="D150" i="7" s="1"/>
  <c r="C150" i="7" a="1"/>
  <c r="C150" i="7" s="1"/>
  <c r="F149" i="7"/>
  <c r="E149" i="7" a="1"/>
  <c r="E149" i="7" s="1"/>
  <c r="D149" i="7" a="1"/>
  <c r="D149" i="7" s="1"/>
  <c r="C149" i="7" a="1"/>
  <c r="C149" i="7" s="1"/>
  <c r="F148" i="7"/>
  <c r="E148" i="7" a="1"/>
  <c r="E148" i="7" s="1"/>
  <c r="D148" i="7" a="1"/>
  <c r="D148" i="7" s="1"/>
  <c r="C148" i="7" a="1"/>
  <c r="C148" i="7" s="1"/>
  <c r="F147" i="7"/>
  <c r="E147" i="7" a="1"/>
  <c r="E147" i="7" s="1"/>
  <c r="D147" i="7" a="1"/>
  <c r="D147" i="7" s="1"/>
  <c r="C147" i="7" a="1"/>
  <c r="C147" i="7" s="1"/>
  <c r="F146" i="7"/>
  <c r="E146" i="7" a="1"/>
  <c r="E146" i="7" s="1"/>
  <c r="D146" i="7" a="1"/>
  <c r="D146" i="7" s="1"/>
  <c r="C146" i="7" a="1"/>
  <c r="C146" i="7" s="1"/>
  <c r="F145" i="7"/>
  <c r="E145" i="7" a="1"/>
  <c r="E145" i="7" s="1"/>
  <c r="D145" i="7" a="1"/>
  <c r="D145" i="7" s="1"/>
  <c r="C145" i="7" a="1"/>
  <c r="C145" i="7" s="1"/>
  <c r="F144" i="7"/>
  <c r="E144" i="7" a="1"/>
  <c r="E144" i="7" s="1"/>
  <c r="D144" i="7" a="1"/>
  <c r="D144" i="7" s="1"/>
  <c r="C144" i="7" a="1"/>
  <c r="C144" i="7" s="1"/>
  <c r="F143" i="7"/>
  <c r="E143" i="7" a="1"/>
  <c r="E143" i="7" s="1"/>
  <c r="D143" i="7" a="1"/>
  <c r="D143" i="7" s="1"/>
  <c r="C143" i="7" a="1"/>
  <c r="C143" i="7" s="1"/>
  <c r="F142" i="7"/>
  <c r="E142" i="7" a="1"/>
  <c r="E142" i="7" s="1"/>
  <c r="D142" i="7" a="1"/>
  <c r="D142" i="7" s="1"/>
  <c r="C142" i="7" a="1"/>
  <c r="C142" i="7" s="1"/>
  <c r="F141" i="7"/>
  <c r="E141" i="7" a="1"/>
  <c r="E141" i="7" s="1"/>
  <c r="D141" i="7" a="1"/>
  <c r="D141" i="7" s="1"/>
  <c r="C141" i="7" a="1"/>
  <c r="C141" i="7" s="1"/>
  <c r="F140" i="7"/>
  <c r="E140" i="7" a="1"/>
  <c r="E140" i="7" s="1"/>
  <c r="D140" i="7" a="1"/>
  <c r="D140" i="7" s="1"/>
  <c r="C140" i="7" a="1"/>
  <c r="C140" i="7" s="1"/>
  <c r="F139" i="7"/>
  <c r="E139" i="7" a="1"/>
  <c r="E139" i="7" s="1"/>
  <c r="D139" i="7" a="1"/>
  <c r="D139" i="7" s="1"/>
  <c r="C139" i="7" a="1"/>
  <c r="C139" i="7" s="1"/>
  <c r="F138" i="7"/>
  <c r="E138" i="7" a="1"/>
  <c r="E138" i="7" s="1"/>
  <c r="D138" i="7" a="1"/>
  <c r="D138" i="7" s="1"/>
  <c r="C138" i="7" a="1"/>
  <c r="C138" i="7" s="1"/>
  <c r="F137" i="7"/>
  <c r="E137" i="7" a="1"/>
  <c r="E137" i="7" s="1"/>
  <c r="D137" i="7" a="1"/>
  <c r="D137" i="7" s="1"/>
  <c r="C137" i="7" a="1"/>
  <c r="C137" i="7" s="1"/>
  <c r="F136" i="7"/>
  <c r="E136" i="7" a="1"/>
  <c r="E136" i="7" s="1"/>
  <c r="D136" i="7" a="1"/>
  <c r="D136" i="7" s="1"/>
  <c r="C136" i="7" a="1"/>
  <c r="C136" i="7" s="1"/>
  <c r="F135" i="7"/>
  <c r="E135" i="7" a="1"/>
  <c r="E135" i="7" s="1"/>
  <c r="D135" i="7" a="1"/>
  <c r="D135" i="7" s="1"/>
  <c r="C135" i="7" a="1"/>
  <c r="C135" i="7" s="1"/>
  <c r="F134" i="7"/>
  <c r="E134" i="7" a="1"/>
  <c r="E134" i="7" s="1"/>
  <c r="D134" i="7" a="1"/>
  <c r="D134" i="7" s="1"/>
  <c r="C134" i="7" a="1"/>
  <c r="C134" i="7" s="1"/>
  <c r="F133" i="7"/>
  <c r="E133" i="7" a="1"/>
  <c r="E133" i="7" s="1"/>
  <c r="D133" i="7" a="1"/>
  <c r="D133" i="7" s="1"/>
  <c r="C133" i="7" a="1"/>
  <c r="C133" i="7" s="1"/>
  <c r="F132" i="7"/>
  <c r="E132" i="7" a="1"/>
  <c r="E132" i="7" s="1"/>
  <c r="D132" i="7" a="1"/>
  <c r="D132" i="7" s="1"/>
  <c r="C132" i="7" a="1"/>
  <c r="C132" i="7" s="1"/>
  <c r="F131" i="7"/>
  <c r="E131" i="7" a="1"/>
  <c r="E131" i="7" s="1"/>
  <c r="D131" i="7" a="1"/>
  <c r="D131" i="7" s="1"/>
  <c r="C131" i="7" a="1"/>
  <c r="C131" i="7" s="1"/>
  <c r="F130" i="7"/>
  <c r="E130" i="7" a="1"/>
  <c r="E130" i="7" s="1"/>
  <c r="D130" i="7" a="1"/>
  <c r="D130" i="7" s="1"/>
  <c r="C130" i="7" a="1"/>
  <c r="C130" i="7" s="1"/>
  <c r="F129" i="7"/>
  <c r="E129" i="7" a="1"/>
  <c r="E129" i="7" s="1"/>
  <c r="D129" i="7" a="1"/>
  <c r="D129" i="7" s="1"/>
  <c r="C129" i="7" a="1"/>
  <c r="C129" i="7" s="1"/>
  <c r="F128" i="7"/>
  <c r="E128" i="7" a="1"/>
  <c r="E128" i="7" s="1"/>
  <c r="D128" i="7" a="1"/>
  <c r="D128" i="7" s="1"/>
  <c r="C128" i="7" a="1"/>
  <c r="C128" i="7" s="1"/>
  <c r="F127" i="7"/>
  <c r="E127" i="7" a="1"/>
  <c r="E127" i="7" s="1"/>
  <c r="D127" i="7" a="1"/>
  <c r="D127" i="7" s="1"/>
  <c r="C127" i="7" a="1"/>
  <c r="C127" i="7" s="1"/>
  <c r="F126" i="7"/>
  <c r="E126" i="7" a="1"/>
  <c r="E126" i="7" s="1"/>
  <c r="D126" i="7" a="1"/>
  <c r="D126" i="7" s="1"/>
  <c r="C126" i="7" a="1"/>
  <c r="C126" i="7" s="1"/>
  <c r="F125" i="7"/>
  <c r="E125" i="7" a="1"/>
  <c r="E125" i="7" s="1"/>
  <c r="D125" i="7" a="1"/>
  <c r="D125" i="7" s="1"/>
  <c r="C125" i="7" a="1"/>
  <c r="C125" i="7" s="1"/>
  <c r="F124" i="7"/>
  <c r="E124" i="7" a="1"/>
  <c r="E124" i="7" s="1"/>
  <c r="D124" i="7" a="1"/>
  <c r="D124" i="7" s="1"/>
  <c r="C124" i="7" a="1"/>
  <c r="C124" i="7" s="1"/>
  <c r="F123" i="7"/>
  <c r="E123" i="7" a="1"/>
  <c r="E123" i="7" s="1"/>
  <c r="D123" i="7" a="1"/>
  <c r="D123" i="7" s="1"/>
  <c r="C123" i="7" a="1"/>
  <c r="C123" i="7" s="1"/>
  <c r="F122" i="7"/>
  <c r="E122" i="7" a="1"/>
  <c r="E122" i="7" s="1"/>
  <c r="D122" i="7" a="1"/>
  <c r="D122" i="7" s="1"/>
  <c r="C122" i="7" a="1"/>
  <c r="C122" i="7" s="1"/>
  <c r="F121" i="7"/>
  <c r="E121" i="7" a="1"/>
  <c r="E121" i="7" s="1"/>
  <c r="D121" i="7" a="1"/>
  <c r="D121" i="7" s="1"/>
  <c r="C121" i="7" a="1"/>
  <c r="C121" i="7" s="1"/>
  <c r="F120" i="7"/>
  <c r="E120" i="7" a="1"/>
  <c r="E120" i="7" s="1"/>
  <c r="D120" i="7" a="1"/>
  <c r="D120" i="7" s="1"/>
  <c r="C120" i="7" a="1"/>
  <c r="C120" i="7" s="1"/>
  <c r="F119" i="7"/>
  <c r="E119" i="7" a="1"/>
  <c r="E119" i="7" s="1"/>
  <c r="D119" i="7" a="1"/>
  <c r="D119" i="7" s="1"/>
  <c r="C119" i="7" a="1"/>
  <c r="C119" i="7" s="1"/>
  <c r="F118" i="7"/>
  <c r="E118" i="7" a="1"/>
  <c r="E118" i="7" s="1"/>
  <c r="D118" i="7" a="1"/>
  <c r="D118" i="7" s="1"/>
  <c r="C118" i="7" a="1"/>
  <c r="C118" i="7" s="1"/>
  <c r="F117" i="7"/>
  <c r="E117" i="7" a="1"/>
  <c r="E117" i="7" s="1"/>
  <c r="D117" i="7" a="1"/>
  <c r="D117" i="7" s="1"/>
  <c r="C117" i="7" a="1"/>
  <c r="C117" i="7" s="1"/>
  <c r="F116" i="7"/>
  <c r="E116" i="7" a="1"/>
  <c r="E116" i="7" s="1"/>
  <c r="D116" i="7" a="1"/>
  <c r="D116" i="7" s="1"/>
  <c r="C116" i="7" a="1"/>
  <c r="C116" i="7" s="1"/>
  <c r="F115" i="7"/>
  <c r="E115" i="7" a="1"/>
  <c r="E115" i="7" s="1"/>
  <c r="D115" i="7" a="1"/>
  <c r="D115" i="7" s="1"/>
  <c r="C115" i="7" a="1"/>
  <c r="C115" i="7" s="1"/>
  <c r="F114" i="7"/>
  <c r="E114" i="7" a="1"/>
  <c r="E114" i="7" s="1"/>
  <c r="D114" i="7" a="1"/>
  <c r="D114" i="7" s="1"/>
  <c r="C114" i="7" a="1"/>
  <c r="C114" i="7" s="1"/>
  <c r="F113" i="7"/>
  <c r="E113" i="7" a="1"/>
  <c r="E113" i="7" s="1"/>
  <c r="D113" i="7" a="1"/>
  <c r="D113" i="7" s="1"/>
  <c r="C113" i="7" a="1"/>
  <c r="C113" i="7" s="1"/>
  <c r="F112" i="7"/>
  <c r="E112" i="7" a="1"/>
  <c r="E112" i="7" s="1"/>
  <c r="D112" i="7" a="1"/>
  <c r="D112" i="7" s="1"/>
  <c r="C112" i="7" a="1"/>
  <c r="C112" i="7" s="1"/>
  <c r="F111" i="7"/>
  <c r="E111" i="7" a="1"/>
  <c r="E111" i="7" s="1"/>
  <c r="D111" i="7" a="1"/>
  <c r="D111" i="7" s="1"/>
  <c r="C111" i="7" a="1"/>
  <c r="C111" i="7" s="1"/>
  <c r="F110" i="7"/>
  <c r="E110" i="7" a="1"/>
  <c r="E110" i="7" s="1"/>
  <c r="D110" i="7" a="1"/>
  <c r="D110" i="7" s="1"/>
  <c r="C110" i="7" a="1"/>
  <c r="C110" i="7" s="1"/>
  <c r="F109" i="7"/>
  <c r="E109" i="7" a="1"/>
  <c r="E109" i="7" s="1"/>
  <c r="D109" i="7" a="1"/>
  <c r="D109" i="7" s="1"/>
  <c r="C109" i="7" a="1"/>
  <c r="C109" i="7" s="1"/>
  <c r="F108" i="7"/>
  <c r="E108" i="7" a="1"/>
  <c r="E108" i="7" s="1"/>
  <c r="D108" i="7" a="1"/>
  <c r="D108" i="7" s="1"/>
  <c r="C108" i="7" a="1"/>
  <c r="C108" i="7" s="1"/>
  <c r="F107" i="7"/>
  <c r="E107" i="7" a="1"/>
  <c r="E107" i="7" s="1"/>
  <c r="D107" i="7" a="1"/>
  <c r="D107" i="7" s="1"/>
  <c r="C107" i="7" a="1"/>
  <c r="C107" i="7" s="1"/>
  <c r="F106" i="7"/>
  <c r="E106" i="7" a="1"/>
  <c r="E106" i="7" s="1"/>
  <c r="D106" i="7" a="1"/>
  <c r="D106" i="7" s="1"/>
  <c r="C106" i="7" a="1"/>
  <c r="C106" i="7" s="1"/>
  <c r="F105" i="7"/>
  <c r="E105" i="7" a="1"/>
  <c r="E105" i="7" s="1"/>
  <c r="D105" i="7" a="1"/>
  <c r="D105" i="7" s="1"/>
  <c r="C105" i="7" a="1"/>
  <c r="C105" i="7" s="1"/>
  <c r="F104" i="7"/>
  <c r="E104" i="7" a="1"/>
  <c r="E104" i="7" s="1"/>
  <c r="D104" i="7" a="1"/>
  <c r="D104" i="7" s="1"/>
  <c r="C104" i="7" a="1"/>
  <c r="C104" i="7" s="1"/>
  <c r="F103" i="7"/>
  <c r="E103" i="7" a="1"/>
  <c r="E103" i="7" s="1"/>
  <c r="D103" i="7" a="1"/>
  <c r="D103" i="7" s="1"/>
  <c r="C103" i="7" a="1"/>
  <c r="C103" i="7" s="1"/>
  <c r="F102" i="7"/>
  <c r="E102" i="7" a="1"/>
  <c r="E102" i="7" s="1"/>
  <c r="D102" i="7" a="1"/>
  <c r="D102" i="7" s="1"/>
  <c r="C102" i="7" a="1"/>
  <c r="C102" i="7" s="1"/>
  <c r="F101" i="7"/>
  <c r="E101" i="7" a="1"/>
  <c r="E101" i="7" s="1"/>
  <c r="D101" i="7" a="1"/>
  <c r="D101" i="7" s="1"/>
  <c r="C101" i="7" a="1"/>
  <c r="C101" i="7" s="1"/>
  <c r="F100" i="7"/>
  <c r="E100" i="7" a="1"/>
  <c r="E100" i="7" s="1"/>
  <c r="D100" i="7" a="1"/>
  <c r="D100" i="7" s="1"/>
  <c r="C100" i="7" a="1"/>
  <c r="C100" i="7" s="1"/>
  <c r="F99" i="7"/>
  <c r="E99" i="7" a="1"/>
  <c r="E99" i="7" s="1"/>
  <c r="D99" i="7" a="1"/>
  <c r="D99" i="7" s="1"/>
  <c r="C99" i="7" a="1"/>
  <c r="C99" i="7" s="1"/>
  <c r="F98" i="7"/>
  <c r="E98" i="7" a="1"/>
  <c r="E98" i="7" s="1"/>
  <c r="D98" i="7" a="1"/>
  <c r="D98" i="7" s="1"/>
  <c r="C98" i="7" a="1"/>
  <c r="C98" i="7" s="1"/>
  <c r="F97" i="7"/>
  <c r="E97" i="7" a="1"/>
  <c r="E97" i="7" s="1"/>
  <c r="D97" i="7" a="1"/>
  <c r="D97" i="7" s="1"/>
  <c r="C97" i="7" a="1"/>
  <c r="C97" i="7" s="1"/>
  <c r="F96" i="7"/>
  <c r="E96" i="7" a="1"/>
  <c r="E96" i="7" s="1"/>
  <c r="D96" i="7" a="1"/>
  <c r="D96" i="7" s="1"/>
  <c r="C96" i="7" a="1"/>
  <c r="C96" i="7" s="1"/>
  <c r="F95" i="7"/>
  <c r="E95" i="7" a="1"/>
  <c r="E95" i="7" s="1"/>
  <c r="D95" i="7" a="1"/>
  <c r="D95" i="7" s="1"/>
  <c r="C95" i="7" a="1"/>
  <c r="C95" i="7" s="1"/>
  <c r="F94" i="7"/>
  <c r="E94" i="7" a="1"/>
  <c r="E94" i="7" s="1"/>
  <c r="D94" i="7" a="1"/>
  <c r="D94" i="7" s="1"/>
  <c r="C94" i="7" a="1"/>
  <c r="C94" i="7" s="1"/>
  <c r="F93" i="7"/>
  <c r="E93" i="7" a="1"/>
  <c r="E93" i="7" s="1"/>
  <c r="D93" i="7" a="1"/>
  <c r="D93" i="7" s="1"/>
  <c r="C93" i="7" a="1"/>
  <c r="C93" i="7" s="1"/>
  <c r="F92" i="7"/>
  <c r="E92" i="7" a="1"/>
  <c r="E92" i="7" s="1"/>
  <c r="D92" i="7" a="1"/>
  <c r="D92" i="7" s="1"/>
  <c r="C92" i="7" a="1"/>
  <c r="C92" i="7" s="1"/>
  <c r="F91" i="7"/>
  <c r="E91" i="7" a="1"/>
  <c r="E91" i="7" s="1"/>
  <c r="D91" i="7" a="1"/>
  <c r="D91" i="7" s="1"/>
  <c r="C91" i="7" a="1"/>
  <c r="C91" i="7" s="1"/>
  <c r="F90" i="7"/>
  <c r="E90" i="7" a="1"/>
  <c r="E90" i="7" s="1"/>
  <c r="D90" i="7" a="1"/>
  <c r="D90" i="7" s="1"/>
  <c r="C90" i="7" a="1"/>
  <c r="C90" i="7" s="1"/>
  <c r="F89" i="7"/>
  <c r="E89" i="7" a="1"/>
  <c r="E89" i="7" s="1"/>
  <c r="D89" i="7" a="1"/>
  <c r="D89" i="7" s="1"/>
  <c r="C89" i="7" a="1"/>
  <c r="C89" i="7" s="1"/>
  <c r="F88" i="7"/>
  <c r="E88" i="7" a="1"/>
  <c r="E88" i="7" s="1"/>
  <c r="D88" i="7" a="1"/>
  <c r="D88" i="7" s="1"/>
  <c r="C88" i="7" a="1"/>
  <c r="C88" i="7" s="1"/>
  <c r="F87" i="7"/>
  <c r="E87" i="7" a="1"/>
  <c r="E87" i="7" s="1"/>
  <c r="D87" i="7" a="1"/>
  <c r="D87" i="7" s="1"/>
  <c r="C87" i="7" a="1"/>
  <c r="C87" i="7" s="1"/>
  <c r="F86" i="7"/>
  <c r="E86" i="7" a="1"/>
  <c r="E86" i="7" s="1"/>
  <c r="D86" i="7" a="1"/>
  <c r="D86" i="7" s="1"/>
  <c r="C86" i="7" a="1"/>
  <c r="C86" i="7" s="1"/>
  <c r="F85" i="7"/>
  <c r="E85" i="7" a="1"/>
  <c r="E85" i="7" s="1"/>
  <c r="D85" i="7" a="1"/>
  <c r="D85" i="7" s="1"/>
  <c r="C85" i="7" a="1"/>
  <c r="C85" i="7" s="1"/>
  <c r="F84" i="7"/>
  <c r="E84" i="7" a="1"/>
  <c r="E84" i="7" s="1"/>
  <c r="D84" i="7" a="1"/>
  <c r="D84" i="7" s="1"/>
  <c r="C84" i="7" a="1"/>
  <c r="C84" i="7" s="1"/>
  <c r="F83" i="7"/>
  <c r="E83" i="7" a="1"/>
  <c r="E83" i="7" s="1"/>
  <c r="D83" i="7" a="1"/>
  <c r="D83" i="7" s="1"/>
  <c r="C83" i="7" a="1"/>
  <c r="C83" i="7" s="1"/>
  <c r="F82" i="7"/>
  <c r="E82" i="7" a="1"/>
  <c r="E82" i="7" s="1"/>
  <c r="D82" i="7" a="1"/>
  <c r="D82" i="7" s="1"/>
  <c r="C82" i="7" a="1"/>
  <c r="C82" i="7" s="1"/>
  <c r="F81" i="7"/>
  <c r="E81" i="7" a="1"/>
  <c r="E81" i="7" s="1"/>
  <c r="D81" i="7" a="1"/>
  <c r="D81" i="7" s="1"/>
  <c r="C81" i="7" a="1"/>
  <c r="C81" i="7" s="1"/>
  <c r="F80" i="7"/>
  <c r="E80" i="7" a="1"/>
  <c r="E80" i="7" s="1"/>
  <c r="D80" i="7" a="1"/>
  <c r="D80" i="7" s="1"/>
  <c r="C80" i="7" a="1"/>
  <c r="C80" i="7" s="1"/>
  <c r="F79" i="7"/>
  <c r="E79" i="7" a="1"/>
  <c r="E79" i="7" s="1"/>
  <c r="D79" i="7" a="1"/>
  <c r="D79" i="7" s="1"/>
  <c r="C79" i="7" a="1"/>
  <c r="C79" i="7" s="1"/>
  <c r="F78" i="7"/>
  <c r="E78" i="7" a="1"/>
  <c r="E78" i="7" s="1"/>
  <c r="D78" i="7" a="1"/>
  <c r="D78" i="7" s="1"/>
  <c r="C78" i="7" a="1"/>
  <c r="C78" i="7" s="1"/>
  <c r="F77" i="7"/>
  <c r="E77" i="7" a="1"/>
  <c r="E77" i="7" s="1"/>
  <c r="D77" i="7" a="1"/>
  <c r="D77" i="7" s="1"/>
  <c r="C77" i="7" a="1"/>
  <c r="C77" i="7" s="1"/>
  <c r="F76" i="7"/>
  <c r="E76" i="7" a="1"/>
  <c r="E76" i="7" s="1"/>
  <c r="D76" i="7" a="1"/>
  <c r="D76" i="7" s="1"/>
  <c r="C76" i="7" a="1"/>
  <c r="C76" i="7" s="1"/>
  <c r="F75" i="7"/>
  <c r="E75" i="7" a="1"/>
  <c r="E75" i="7" s="1"/>
  <c r="D75" i="7" a="1"/>
  <c r="D75" i="7" s="1"/>
  <c r="C75" i="7" a="1"/>
  <c r="C75" i="7" s="1"/>
  <c r="F74" i="7"/>
  <c r="E74" i="7" a="1"/>
  <c r="E74" i="7" s="1"/>
  <c r="D74" i="7" a="1"/>
  <c r="D74" i="7" s="1"/>
  <c r="C74" i="7" a="1"/>
  <c r="C74" i="7" s="1"/>
  <c r="F73" i="7"/>
  <c r="E73" i="7" a="1"/>
  <c r="E73" i="7" s="1"/>
  <c r="D73" i="7" a="1"/>
  <c r="D73" i="7" s="1"/>
  <c r="C73" i="7" a="1"/>
  <c r="C73" i="7" s="1"/>
  <c r="F72" i="7"/>
  <c r="E72" i="7" a="1"/>
  <c r="E72" i="7" s="1"/>
  <c r="D72" i="7" a="1"/>
  <c r="D72" i="7" s="1"/>
  <c r="C72" i="7" a="1"/>
  <c r="C72" i="7" s="1"/>
  <c r="F71" i="7"/>
  <c r="E71" i="7" a="1"/>
  <c r="E71" i="7" s="1"/>
  <c r="D71" i="7" a="1"/>
  <c r="D71" i="7" s="1"/>
  <c r="C71" i="7" a="1"/>
  <c r="C71" i="7" s="1"/>
  <c r="F70" i="7"/>
  <c r="E70" i="7" a="1"/>
  <c r="E70" i="7" s="1"/>
  <c r="D70" i="7" a="1"/>
  <c r="D70" i="7" s="1"/>
  <c r="C70" i="7" a="1"/>
  <c r="C70" i="7" s="1"/>
  <c r="F69" i="7"/>
  <c r="E69" i="7" a="1"/>
  <c r="E69" i="7" s="1"/>
  <c r="D69" i="7" a="1"/>
  <c r="D69" i="7" s="1"/>
  <c r="C69" i="7" a="1"/>
  <c r="C69" i="7" s="1"/>
  <c r="F68" i="7"/>
  <c r="E68" i="7" a="1"/>
  <c r="E68" i="7" s="1"/>
  <c r="D68" i="7" a="1"/>
  <c r="D68" i="7" s="1"/>
  <c r="C68" i="7" a="1"/>
  <c r="C68" i="7" s="1"/>
  <c r="F67" i="7"/>
  <c r="E67" i="7" a="1"/>
  <c r="E67" i="7" s="1"/>
  <c r="D67" i="7" a="1"/>
  <c r="D67" i="7" s="1"/>
  <c r="C67" i="7" a="1"/>
  <c r="C67" i="7" s="1"/>
  <c r="F66" i="7"/>
  <c r="E66" i="7" a="1"/>
  <c r="E66" i="7" s="1"/>
  <c r="D66" i="7" a="1"/>
  <c r="D66" i="7" s="1"/>
  <c r="C66" i="7" a="1"/>
  <c r="C66" i="7" s="1"/>
  <c r="F65" i="7"/>
  <c r="E65" i="7" a="1"/>
  <c r="E65" i="7" s="1"/>
  <c r="D65" i="7" a="1"/>
  <c r="D65" i="7" s="1"/>
  <c r="C65" i="7" a="1"/>
  <c r="C65" i="7" s="1"/>
  <c r="F64" i="7"/>
  <c r="E64" i="7" a="1"/>
  <c r="E64" i="7" s="1"/>
  <c r="D64" i="7" a="1"/>
  <c r="D64" i="7" s="1"/>
  <c r="C64" i="7" a="1"/>
  <c r="C64" i="7" s="1"/>
  <c r="F63" i="7"/>
  <c r="E63" i="7" a="1"/>
  <c r="E63" i="7" s="1"/>
  <c r="D63" i="7" a="1"/>
  <c r="D63" i="7" s="1"/>
  <c r="C63" i="7" a="1"/>
  <c r="C63" i="7" s="1"/>
  <c r="F62" i="7"/>
  <c r="E62" i="7" a="1"/>
  <c r="E62" i="7" s="1"/>
  <c r="D62" i="7" a="1"/>
  <c r="D62" i="7" s="1"/>
  <c r="C62" i="7" a="1"/>
  <c r="C62" i="7" s="1"/>
  <c r="F61" i="7"/>
  <c r="E61" i="7" a="1"/>
  <c r="E61" i="7" s="1"/>
  <c r="D61" i="7" a="1"/>
  <c r="D61" i="7" s="1"/>
  <c r="C61" i="7" a="1"/>
  <c r="C61" i="7" s="1"/>
  <c r="F60" i="7"/>
  <c r="E60" i="7" a="1"/>
  <c r="E60" i="7" s="1"/>
  <c r="D60" i="7" a="1"/>
  <c r="D60" i="7" s="1"/>
  <c r="C60" i="7" a="1"/>
  <c r="C60" i="7" s="1"/>
  <c r="F59" i="7"/>
  <c r="E59" i="7" a="1"/>
  <c r="E59" i="7" s="1"/>
  <c r="D59" i="7" a="1"/>
  <c r="D59" i="7" s="1"/>
  <c r="C59" i="7" a="1"/>
  <c r="C59" i="7" s="1"/>
  <c r="F58" i="7"/>
  <c r="E58" i="7" a="1"/>
  <c r="E58" i="7" s="1"/>
  <c r="D58" i="7" a="1"/>
  <c r="D58" i="7" s="1"/>
  <c r="C58" i="7" a="1"/>
  <c r="C58" i="7" s="1"/>
  <c r="F57" i="7"/>
  <c r="E57" i="7" a="1"/>
  <c r="E57" i="7" s="1"/>
  <c r="D57" i="7" a="1"/>
  <c r="D57" i="7" s="1"/>
  <c r="C57" i="7" a="1"/>
  <c r="C57" i="7" s="1"/>
  <c r="F56" i="7"/>
  <c r="E56" i="7" a="1"/>
  <c r="E56" i="7" s="1"/>
  <c r="D56" i="7" a="1"/>
  <c r="D56" i="7" s="1"/>
  <c r="C56" i="7" a="1"/>
  <c r="C56" i="7" s="1"/>
  <c r="F55" i="7"/>
  <c r="E55" i="7" a="1"/>
  <c r="E55" i="7" s="1"/>
  <c r="D55" i="7" a="1"/>
  <c r="D55" i="7" s="1"/>
  <c r="C55" i="7" a="1"/>
  <c r="C55" i="7" s="1"/>
  <c r="F54" i="7"/>
  <c r="E54" i="7" a="1"/>
  <c r="E54" i="7" s="1"/>
  <c r="D54" i="7" a="1"/>
  <c r="D54" i="7" s="1"/>
  <c r="C54" i="7" a="1"/>
  <c r="C54" i="7" s="1"/>
  <c r="F53" i="7"/>
  <c r="E53" i="7" a="1"/>
  <c r="E53" i="7" s="1"/>
  <c r="D53" i="7" a="1"/>
  <c r="D53" i="7" s="1"/>
  <c r="C53" i="7" a="1"/>
  <c r="C53" i="7" s="1"/>
  <c r="F52" i="7"/>
  <c r="E52" i="7" a="1"/>
  <c r="E52" i="7" s="1"/>
  <c r="D52" i="7" a="1"/>
  <c r="D52" i="7" s="1"/>
  <c r="C52" i="7" a="1"/>
  <c r="C52" i="7" s="1"/>
  <c r="F51" i="7"/>
  <c r="E51" i="7" a="1"/>
  <c r="E51" i="7" s="1"/>
  <c r="D51" i="7" a="1"/>
  <c r="D51" i="7" s="1"/>
  <c r="C51" i="7" a="1"/>
  <c r="C51" i="7" s="1"/>
  <c r="F50" i="7"/>
  <c r="E50" i="7" a="1"/>
  <c r="E50" i="7" s="1"/>
  <c r="D50" i="7" a="1"/>
  <c r="D50" i="7" s="1"/>
  <c r="C50" i="7" a="1"/>
  <c r="C50" i="7" s="1"/>
  <c r="F49" i="7"/>
  <c r="E49" i="7" a="1"/>
  <c r="E49" i="7" s="1"/>
  <c r="D49" i="7" a="1"/>
  <c r="D49" i="7" s="1"/>
  <c r="C49" i="7" a="1"/>
  <c r="C49" i="7" s="1"/>
  <c r="F48" i="7"/>
  <c r="E48" i="7" a="1"/>
  <c r="E48" i="7" s="1"/>
  <c r="D48" i="7" a="1"/>
  <c r="D48" i="7" s="1"/>
  <c r="C48" i="7" a="1"/>
  <c r="C48" i="7" s="1"/>
  <c r="F47" i="7"/>
  <c r="E47" i="7" a="1"/>
  <c r="E47" i="7" s="1"/>
  <c r="D47" i="7" a="1"/>
  <c r="D47" i="7" s="1"/>
  <c r="C47" i="7" a="1"/>
  <c r="C47" i="7" s="1"/>
  <c r="F46" i="7"/>
  <c r="E46" i="7" a="1"/>
  <c r="E46" i="7" s="1"/>
  <c r="D46" i="7" a="1"/>
  <c r="D46" i="7" s="1"/>
  <c r="C46" i="7" a="1"/>
  <c r="C46" i="7" s="1"/>
  <c r="F45" i="7"/>
  <c r="E45" i="7" a="1"/>
  <c r="E45" i="7" s="1"/>
  <c r="D45" i="7" a="1"/>
  <c r="D45" i="7" s="1"/>
  <c r="C45" i="7" a="1"/>
  <c r="C45" i="7" s="1"/>
  <c r="F44" i="7"/>
  <c r="E44" i="7" a="1"/>
  <c r="E44" i="7" s="1"/>
  <c r="D44" i="7" a="1"/>
  <c r="D44" i="7" s="1"/>
  <c r="C44" i="7" a="1"/>
  <c r="C44" i="7" s="1"/>
  <c r="F43" i="7"/>
  <c r="E43" i="7" a="1"/>
  <c r="E43" i="7" s="1"/>
  <c r="D43" i="7" a="1"/>
  <c r="D43" i="7" s="1"/>
  <c r="C43" i="7" a="1"/>
  <c r="C43" i="7" s="1"/>
  <c r="F42" i="7"/>
  <c r="E42" i="7" a="1"/>
  <c r="E42" i="7" s="1"/>
  <c r="D42" i="7" a="1"/>
  <c r="D42" i="7" s="1"/>
  <c r="C42" i="7" a="1"/>
  <c r="C42" i="7" s="1"/>
  <c r="F41" i="7"/>
  <c r="E41" i="7" a="1"/>
  <c r="E41" i="7" s="1"/>
  <c r="D41" i="7" a="1"/>
  <c r="D41" i="7" s="1"/>
  <c r="C41" i="7" a="1"/>
  <c r="C41" i="7" s="1"/>
  <c r="F40" i="7"/>
  <c r="E40" i="7" a="1"/>
  <c r="E40" i="7" s="1"/>
  <c r="D40" i="7" a="1"/>
  <c r="D40" i="7" s="1"/>
  <c r="C40" i="7" a="1"/>
  <c r="C40" i="7" s="1"/>
  <c r="F39" i="7"/>
  <c r="E39" i="7" a="1"/>
  <c r="E39" i="7" s="1"/>
  <c r="D39" i="7" a="1"/>
  <c r="D39" i="7" s="1"/>
  <c r="C39" i="7" a="1"/>
  <c r="C39" i="7" s="1"/>
  <c r="F38" i="7"/>
  <c r="E38" i="7" a="1"/>
  <c r="E38" i="7" s="1"/>
  <c r="D38" i="7" a="1"/>
  <c r="D38" i="7" s="1"/>
  <c r="C38" i="7" a="1"/>
  <c r="C38" i="7" s="1"/>
  <c r="F37" i="7"/>
  <c r="E37" i="7" a="1"/>
  <c r="E37" i="7" s="1"/>
  <c r="D37" i="7" a="1"/>
  <c r="D37" i="7" s="1"/>
  <c r="C37" i="7" a="1"/>
  <c r="C37" i="7" s="1"/>
  <c r="F36" i="7"/>
  <c r="E36" i="7" a="1"/>
  <c r="E36" i="7" s="1"/>
  <c r="D36" i="7" a="1"/>
  <c r="D36" i="7" s="1"/>
  <c r="C36" i="7" a="1"/>
  <c r="C36" i="7" s="1"/>
  <c r="F35" i="7"/>
  <c r="E35" i="7" a="1"/>
  <c r="E35" i="7" s="1"/>
  <c r="D35" i="7" a="1"/>
  <c r="D35" i="7" s="1"/>
  <c r="C35" i="7" a="1"/>
  <c r="C35" i="7" s="1"/>
  <c r="F34" i="7"/>
  <c r="E34" i="7" a="1"/>
  <c r="E34" i="7" s="1"/>
  <c r="D34" i="7" a="1"/>
  <c r="D34" i="7" s="1"/>
  <c r="C34" i="7" a="1"/>
  <c r="C34" i="7" s="1"/>
  <c r="F33" i="7"/>
  <c r="E33" i="7" a="1"/>
  <c r="E33" i="7" s="1"/>
  <c r="D33" i="7" a="1"/>
  <c r="D33" i="7" s="1"/>
  <c r="C33" i="7" a="1"/>
  <c r="C33" i="7" s="1"/>
  <c r="F32" i="7"/>
  <c r="E32" i="7" a="1"/>
  <c r="E32" i="7" s="1"/>
  <c r="D32" i="7" a="1"/>
  <c r="D32" i="7" s="1"/>
  <c r="C32" i="7" a="1"/>
  <c r="C32" i="7" s="1"/>
  <c r="F31" i="7"/>
  <c r="E31" i="7" a="1"/>
  <c r="E31" i="7" s="1"/>
  <c r="D31" i="7" a="1"/>
  <c r="D31" i="7" s="1"/>
  <c r="C31" i="7" a="1"/>
  <c r="C31" i="7" s="1"/>
  <c r="F30" i="7"/>
  <c r="E30" i="7" a="1"/>
  <c r="E30" i="7" s="1"/>
  <c r="D30" i="7" a="1"/>
  <c r="D30" i="7" s="1"/>
  <c r="C30" i="7" a="1"/>
  <c r="C30" i="7" s="1"/>
  <c r="F29" i="7"/>
  <c r="E29" i="7" a="1"/>
  <c r="E29" i="7" s="1"/>
  <c r="D29" i="7" a="1"/>
  <c r="D29" i="7" s="1"/>
  <c r="C29" i="7" a="1"/>
  <c r="C29" i="7" s="1"/>
  <c r="F28" i="7"/>
  <c r="E28" i="7" a="1"/>
  <c r="E28" i="7" s="1"/>
  <c r="D28" i="7" a="1"/>
  <c r="D28" i="7" s="1"/>
  <c r="C28" i="7" a="1"/>
  <c r="C28" i="7" s="1"/>
  <c r="F27" i="7"/>
  <c r="E27" i="7" a="1"/>
  <c r="E27" i="7" s="1"/>
  <c r="D27" i="7" a="1"/>
  <c r="D27" i="7" s="1"/>
  <c r="C27" i="7" a="1"/>
  <c r="C27" i="7" s="1"/>
  <c r="F26" i="7"/>
  <c r="E26" i="7" a="1"/>
  <c r="E26" i="7" s="1"/>
  <c r="D26" i="7" a="1"/>
  <c r="D26" i="7" s="1"/>
  <c r="C26" i="7" a="1"/>
  <c r="C26" i="7" s="1"/>
  <c r="F25" i="7"/>
  <c r="E25" i="7" a="1"/>
  <c r="E25" i="7" s="1"/>
  <c r="D25" i="7" a="1"/>
  <c r="D25" i="7" s="1"/>
  <c r="C25" i="7" a="1"/>
  <c r="C25" i="7" s="1"/>
  <c r="F24" i="7"/>
  <c r="E24" i="7" a="1"/>
  <c r="E24" i="7" s="1"/>
  <c r="D24" i="7" a="1"/>
  <c r="D24" i="7" s="1"/>
  <c r="C24" i="7" a="1"/>
  <c r="C24" i="7" s="1"/>
  <c r="F23" i="7"/>
  <c r="E23" i="7" a="1"/>
  <c r="E23" i="7" s="1"/>
  <c r="D23" i="7" a="1"/>
  <c r="D23" i="7" s="1"/>
  <c r="C23" i="7" a="1"/>
  <c r="C23" i="7" s="1"/>
  <c r="F22" i="7"/>
  <c r="E22" i="7" a="1"/>
  <c r="E22" i="7" s="1"/>
  <c r="D22" i="7" a="1"/>
  <c r="D22" i="7" s="1"/>
  <c r="C22" i="7" a="1"/>
  <c r="C22" i="7" s="1"/>
  <c r="F21" i="7"/>
  <c r="E21" i="7" a="1"/>
  <c r="E21" i="7" s="1"/>
  <c r="D21" i="7" a="1"/>
  <c r="D21" i="7" s="1"/>
  <c r="C21" i="7" a="1"/>
  <c r="C21" i="7" s="1"/>
  <c r="F20" i="7"/>
  <c r="E20" i="7" a="1"/>
  <c r="E20" i="7" s="1"/>
  <c r="D20" i="7" a="1"/>
  <c r="D20" i="7" s="1"/>
  <c r="C20" i="7" a="1"/>
  <c r="C20" i="7" s="1"/>
  <c r="F19" i="7"/>
  <c r="E19" i="7" a="1"/>
  <c r="E19" i="7" s="1"/>
  <c r="D19" i="7" a="1"/>
  <c r="D19" i="7" s="1"/>
  <c r="C19" i="7" a="1"/>
  <c r="C19" i="7" s="1"/>
  <c r="F18" i="7"/>
  <c r="E18" i="7" a="1"/>
  <c r="E18" i="7" s="1"/>
  <c r="D18" i="7" a="1"/>
  <c r="D18" i="7" s="1"/>
  <c r="C18" i="7" a="1"/>
  <c r="C18" i="7" s="1"/>
  <c r="F17" i="7"/>
  <c r="E17" i="7" a="1"/>
  <c r="E17" i="7" s="1"/>
  <c r="D17" i="7" a="1"/>
  <c r="D17" i="7" s="1"/>
  <c r="C17" i="7" a="1"/>
  <c r="C17" i="7" s="1"/>
  <c r="F16" i="7"/>
  <c r="E16" i="7" a="1"/>
  <c r="E16" i="7" s="1"/>
  <c r="D16" i="7" a="1"/>
  <c r="D16" i="7" s="1"/>
  <c r="C16" i="7" a="1"/>
  <c r="C16" i="7" s="1"/>
  <c r="F15" i="7"/>
  <c r="E15" i="7" a="1"/>
  <c r="E15" i="7" s="1"/>
  <c r="D15" i="7" a="1"/>
  <c r="D15" i="7" s="1"/>
  <c r="C15" i="7" a="1"/>
  <c r="C15" i="7" s="1"/>
  <c r="F14" i="7"/>
  <c r="E14" i="7" a="1"/>
  <c r="E14" i="7" s="1"/>
  <c r="D14" i="7" a="1"/>
  <c r="D14" i="7" s="1"/>
  <c r="C14" i="7" a="1"/>
  <c r="C14" i="7" s="1"/>
  <c r="F13" i="7"/>
  <c r="E13" i="7" a="1"/>
  <c r="E13" i="7" s="1"/>
  <c r="D13" i="7" a="1"/>
  <c r="D13" i="7" s="1"/>
  <c r="C13" i="7" a="1"/>
  <c r="C13" i="7" s="1"/>
  <c r="F12" i="7"/>
  <c r="E12" i="7" a="1"/>
  <c r="E12" i="7" s="1"/>
  <c r="D12" i="7" a="1"/>
  <c r="D12" i="7" s="1"/>
  <c r="C12" i="7" a="1"/>
  <c r="C12" i="7" s="1"/>
  <c r="F11" i="7"/>
  <c r="E11" i="7" a="1"/>
  <c r="E11" i="7" s="1"/>
  <c r="D11" i="7" a="1"/>
  <c r="D11" i="7" s="1"/>
  <c r="C11" i="7" a="1"/>
  <c r="C11" i="7" s="1"/>
  <c r="F10" i="7"/>
  <c r="E10" i="7" a="1"/>
  <c r="E10" i="7" s="1"/>
  <c r="D10" i="7" a="1"/>
  <c r="D10" i="7" s="1"/>
  <c r="C10" i="7" a="1"/>
  <c r="C10" i="7" s="1"/>
  <c r="F9" i="7"/>
  <c r="E9" i="7" a="1"/>
  <c r="E9" i="7" s="1"/>
  <c r="D9" i="7" a="1"/>
  <c r="D9" i="7" s="1"/>
  <c r="C9" i="7" a="1"/>
  <c r="C9" i="7" s="1"/>
  <c r="F8" i="7"/>
  <c r="E8" i="7" a="1"/>
  <c r="E8" i="7" s="1"/>
  <c r="D8" i="7" a="1"/>
  <c r="D8" i="7" s="1"/>
  <c r="C8" i="7" a="1"/>
  <c r="C8" i="7" s="1"/>
  <c r="F7" i="7"/>
  <c r="E7" i="7" a="1"/>
  <c r="E7" i="7" s="1"/>
  <c r="D7" i="7" a="1"/>
  <c r="D7" i="7" s="1"/>
  <c r="C7" i="7" a="1"/>
  <c r="C7" i="7" s="1"/>
  <c r="F6" i="7"/>
  <c r="E6" i="7" a="1"/>
  <c r="E6" i="7" s="1"/>
  <c r="D6" i="7" a="1"/>
  <c r="D6" i="7" s="1"/>
  <c r="C6" i="7" a="1"/>
  <c r="C6" i="7" s="1"/>
  <c r="F5" i="7"/>
  <c r="E5" i="7" a="1"/>
  <c r="E5" i="7" s="1"/>
  <c r="D5" i="7" a="1"/>
  <c r="D5" i="7" s="1"/>
  <c r="C5" i="7" a="1"/>
  <c r="C5" i="7" s="1"/>
  <c r="F4" i="7"/>
  <c r="E4" i="7" a="1"/>
  <c r="E4" i="7" s="1"/>
  <c r="D4" i="7" a="1"/>
  <c r="D4" i="7" s="1"/>
  <c r="C4" i="7" a="1"/>
  <c r="C4" i="7" s="1"/>
  <c r="F3" i="7"/>
  <c r="E3" i="7" a="1"/>
  <c r="E3" i="7" s="1"/>
  <c r="D3" i="7" a="1"/>
  <c r="D3" i="7" s="1"/>
  <c r="C3" i="7" a="1"/>
  <c r="C3" i="7" s="1"/>
  <c r="F195" i="6"/>
  <c r="E195" i="6" a="1"/>
  <c r="E195" i="6" s="1"/>
  <c r="D195" i="6" a="1"/>
  <c r="D195" i="6" s="1"/>
  <c r="C195" i="6" a="1"/>
  <c r="C195" i="6" s="1"/>
  <c r="F194" i="6"/>
  <c r="E194" i="6" a="1"/>
  <c r="E194" i="6" s="1"/>
  <c r="D194" i="6" a="1"/>
  <c r="D194" i="6" s="1"/>
  <c r="C194" i="6" a="1"/>
  <c r="C194" i="6" s="1"/>
  <c r="F193" i="6"/>
  <c r="E193" i="6" a="1"/>
  <c r="E193" i="6" s="1"/>
  <c r="D193" i="6" a="1"/>
  <c r="D193" i="6" s="1"/>
  <c r="C193" i="6" a="1"/>
  <c r="C193" i="6" s="1"/>
  <c r="F192" i="6"/>
  <c r="E192" i="6" a="1"/>
  <c r="E192" i="6" s="1"/>
  <c r="D192" i="6" a="1"/>
  <c r="D192" i="6" s="1"/>
  <c r="C192" i="6" a="1"/>
  <c r="C192" i="6" s="1"/>
  <c r="F191" i="6"/>
  <c r="E191" i="6" a="1"/>
  <c r="E191" i="6" s="1"/>
  <c r="D191" i="6" a="1"/>
  <c r="D191" i="6" s="1"/>
  <c r="C191" i="6" a="1"/>
  <c r="C191" i="6" s="1"/>
  <c r="F190" i="6"/>
  <c r="E190" i="6" a="1"/>
  <c r="E190" i="6" s="1"/>
  <c r="D190" i="6" a="1"/>
  <c r="D190" i="6" s="1"/>
  <c r="C190" i="6" a="1"/>
  <c r="C190" i="6" s="1"/>
  <c r="F189" i="6"/>
  <c r="E189" i="6" a="1"/>
  <c r="E189" i="6" s="1"/>
  <c r="D189" i="6" a="1"/>
  <c r="D189" i="6" s="1"/>
  <c r="C189" i="6" a="1"/>
  <c r="C189" i="6" s="1"/>
  <c r="F188" i="6"/>
  <c r="E188" i="6" a="1"/>
  <c r="E188" i="6" s="1"/>
  <c r="D188" i="6" a="1"/>
  <c r="D188" i="6" s="1"/>
  <c r="C188" i="6" a="1"/>
  <c r="C188" i="6" s="1"/>
  <c r="F187" i="6"/>
  <c r="E187" i="6" a="1"/>
  <c r="E187" i="6" s="1"/>
  <c r="D187" i="6" a="1"/>
  <c r="D187" i="6" s="1"/>
  <c r="C187" i="6" a="1"/>
  <c r="C187" i="6" s="1"/>
  <c r="F186" i="6"/>
  <c r="E186" i="6" a="1"/>
  <c r="E186" i="6" s="1"/>
  <c r="D186" i="6" a="1"/>
  <c r="D186" i="6" s="1"/>
  <c r="C186" i="6" a="1"/>
  <c r="C186" i="6" s="1"/>
  <c r="F185" i="6"/>
  <c r="E185" i="6" a="1"/>
  <c r="E185" i="6" s="1"/>
  <c r="D185" i="6" a="1"/>
  <c r="D185" i="6" s="1"/>
  <c r="C185" i="6" a="1"/>
  <c r="C185" i="6" s="1"/>
  <c r="F184" i="6"/>
  <c r="E184" i="6" a="1"/>
  <c r="E184" i="6" s="1"/>
  <c r="D184" i="6" a="1"/>
  <c r="D184" i="6" s="1"/>
  <c r="C184" i="6" a="1"/>
  <c r="C184" i="6" s="1"/>
  <c r="F183" i="6"/>
  <c r="E183" i="6" a="1"/>
  <c r="E183" i="6" s="1"/>
  <c r="D183" i="6" a="1"/>
  <c r="D183" i="6" s="1"/>
  <c r="C183" i="6" a="1"/>
  <c r="C183" i="6" s="1"/>
  <c r="F182" i="6"/>
  <c r="E182" i="6" a="1"/>
  <c r="E182" i="6" s="1"/>
  <c r="D182" i="6" a="1"/>
  <c r="D182" i="6" s="1"/>
  <c r="C182" i="6" a="1"/>
  <c r="C182" i="6" s="1"/>
  <c r="F181" i="6"/>
  <c r="E181" i="6" a="1"/>
  <c r="E181" i="6" s="1"/>
  <c r="D181" i="6" a="1"/>
  <c r="D181" i="6" s="1"/>
  <c r="C181" i="6" a="1"/>
  <c r="C181" i="6" s="1"/>
  <c r="F180" i="6"/>
  <c r="E180" i="6" a="1"/>
  <c r="E180" i="6" s="1"/>
  <c r="D180" i="6" a="1"/>
  <c r="D180" i="6" s="1"/>
  <c r="C180" i="6" a="1"/>
  <c r="C180" i="6" s="1"/>
  <c r="F179" i="6"/>
  <c r="E179" i="6" a="1"/>
  <c r="E179" i="6" s="1"/>
  <c r="D179" i="6" a="1"/>
  <c r="D179" i="6" s="1"/>
  <c r="C179" i="6" a="1"/>
  <c r="C179" i="6" s="1"/>
  <c r="F178" i="6"/>
  <c r="E178" i="6" a="1"/>
  <c r="E178" i="6" s="1"/>
  <c r="D178" i="6" a="1"/>
  <c r="D178" i="6" s="1"/>
  <c r="C178" i="6" a="1"/>
  <c r="C178" i="6" s="1"/>
  <c r="F177" i="6"/>
  <c r="E177" i="6" a="1"/>
  <c r="E177" i="6" s="1"/>
  <c r="D177" i="6" a="1"/>
  <c r="D177" i="6" s="1"/>
  <c r="C177" i="6" a="1"/>
  <c r="C177" i="6" s="1"/>
  <c r="F176" i="6"/>
  <c r="E176" i="6" a="1"/>
  <c r="E176" i="6" s="1"/>
  <c r="D176" i="6" a="1"/>
  <c r="D176" i="6" s="1"/>
  <c r="C176" i="6" a="1"/>
  <c r="C176" i="6" s="1"/>
  <c r="F175" i="6"/>
  <c r="E175" i="6" a="1"/>
  <c r="E175" i="6" s="1"/>
  <c r="D175" i="6" a="1"/>
  <c r="D175" i="6" s="1"/>
  <c r="C175" i="6" a="1"/>
  <c r="C175" i="6" s="1"/>
  <c r="F174" i="6"/>
  <c r="E174" i="6" a="1"/>
  <c r="E174" i="6" s="1"/>
  <c r="D174" i="6" a="1"/>
  <c r="D174" i="6" s="1"/>
  <c r="C174" i="6" a="1"/>
  <c r="C174" i="6" s="1"/>
  <c r="F173" i="6"/>
  <c r="E173" i="6" a="1"/>
  <c r="E173" i="6" s="1"/>
  <c r="D173" i="6" a="1"/>
  <c r="D173" i="6" s="1"/>
  <c r="C173" i="6" a="1"/>
  <c r="C173" i="6" s="1"/>
  <c r="F172" i="6"/>
  <c r="E172" i="6" a="1"/>
  <c r="E172" i="6" s="1"/>
  <c r="D172" i="6" a="1"/>
  <c r="D172" i="6" s="1"/>
  <c r="C172" i="6" a="1"/>
  <c r="C172" i="6" s="1"/>
  <c r="F171" i="6"/>
  <c r="E171" i="6" a="1"/>
  <c r="E171" i="6" s="1"/>
  <c r="D171" i="6" a="1"/>
  <c r="D171" i="6" s="1"/>
  <c r="C171" i="6" a="1"/>
  <c r="C171" i="6" s="1"/>
  <c r="F170" i="6"/>
  <c r="E170" i="6" a="1"/>
  <c r="E170" i="6" s="1"/>
  <c r="D170" i="6" a="1"/>
  <c r="D170" i="6" s="1"/>
  <c r="C170" i="6" a="1"/>
  <c r="C170" i="6" s="1"/>
  <c r="F169" i="6"/>
  <c r="E169" i="6" a="1"/>
  <c r="E169" i="6" s="1"/>
  <c r="D169" i="6" a="1"/>
  <c r="D169" i="6" s="1"/>
  <c r="C169" i="6" a="1"/>
  <c r="C169" i="6" s="1"/>
  <c r="F168" i="6"/>
  <c r="E168" i="6" a="1"/>
  <c r="E168" i="6" s="1"/>
  <c r="D168" i="6" a="1"/>
  <c r="D168" i="6" s="1"/>
  <c r="C168" i="6" a="1"/>
  <c r="C168" i="6" s="1"/>
  <c r="F167" i="6"/>
  <c r="E167" i="6" a="1"/>
  <c r="E167" i="6" s="1"/>
  <c r="D167" i="6" a="1"/>
  <c r="D167" i="6" s="1"/>
  <c r="C167" i="6" a="1"/>
  <c r="C167" i="6" s="1"/>
  <c r="F166" i="6"/>
  <c r="E166" i="6" a="1"/>
  <c r="E166" i="6" s="1"/>
  <c r="D166" i="6" a="1"/>
  <c r="D166" i="6" s="1"/>
  <c r="C166" i="6" a="1"/>
  <c r="C166" i="6" s="1"/>
  <c r="F165" i="6"/>
  <c r="E165" i="6" a="1"/>
  <c r="E165" i="6" s="1"/>
  <c r="D165" i="6" a="1"/>
  <c r="D165" i="6" s="1"/>
  <c r="C165" i="6" a="1"/>
  <c r="C165" i="6" s="1"/>
  <c r="F164" i="6"/>
  <c r="E164" i="6" a="1"/>
  <c r="E164" i="6" s="1"/>
  <c r="D164" i="6" a="1"/>
  <c r="D164" i="6" s="1"/>
  <c r="C164" i="6" a="1"/>
  <c r="C164" i="6" s="1"/>
  <c r="F163" i="6"/>
  <c r="E163" i="6" a="1"/>
  <c r="E163" i="6" s="1"/>
  <c r="D163" i="6" a="1"/>
  <c r="D163" i="6" s="1"/>
  <c r="C163" i="6" a="1"/>
  <c r="C163" i="6" s="1"/>
  <c r="F162" i="6"/>
  <c r="E162" i="6" a="1"/>
  <c r="E162" i="6" s="1"/>
  <c r="D162" i="6" a="1"/>
  <c r="D162" i="6" s="1"/>
  <c r="C162" i="6" a="1"/>
  <c r="C162" i="6" s="1"/>
  <c r="F161" i="6"/>
  <c r="E161" i="6" a="1"/>
  <c r="E161" i="6" s="1"/>
  <c r="D161" i="6" a="1"/>
  <c r="D161" i="6" s="1"/>
  <c r="C161" i="6" a="1"/>
  <c r="C161" i="6" s="1"/>
  <c r="F160" i="6"/>
  <c r="E160" i="6" a="1"/>
  <c r="E160" i="6" s="1"/>
  <c r="D160" i="6" a="1"/>
  <c r="D160" i="6" s="1"/>
  <c r="C160" i="6" a="1"/>
  <c r="C160" i="6" s="1"/>
  <c r="F159" i="6"/>
  <c r="E159" i="6" a="1"/>
  <c r="E159" i="6" s="1"/>
  <c r="D159" i="6" a="1"/>
  <c r="D159" i="6" s="1"/>
  <c r="C159" i="6" a="1"/>
  <c r="C159" i="6" s="1"/>
  <c r="F158" i="6"/>
  <c r="E158" i="6" a="1"/>
  <c r="E158" i="6" s="1"/>
  <c r="D158" i="6" a="1"/>
  <c r="D158" i="6" s="1"/>
  <c r="C158" i="6" a="1"/>
  <c r="C158" i="6" s="1"/>
  <c r="F157" i="6"/>
  <c r="E157" i="6" a="1"/>
  <c r="E157" i="6" s="1"/>
  <c r="D157" i="6" a="1"/>
  <c r="D157" i="6" s="1"/>
  <c r="C157" i="6" a="1"/>
  <c r="C157" i="6" s="1"/>
  <c r="F156" i="6"/>
  <c r="E156" i="6" a="1"/>
  <c r="E156" i="6" s="1"/>
  <c r="D156" i="6" a="1"/>
  <c r="D156" i="6" s="1"/>
  <c r="C156" i="6" a="1"/>
  <c r="C156" i="6" s="1"/>
  <c r="F155" i="6"/>
  <c r="E155" i="6" a="1"/>
  <c r="E155" i="6" s="1"/>
  <c r="D155" i="6" a="1"/>
  <c r="D155" i="6" s="1"/>
  <c r="C155" i="6" a="1"/>
  <c r="C155" i="6" s="1"/>
  <c r="F154" i="6"/>
  <c r="E154" i="6" a="1"/>
  <c r="E154" i="6" s="1"/>
  <c r="D154" i="6" a="1"/>
  <c r="D154" i="6" s="1"/>
  <c r="C154" i="6" a="1"/>
  <c r="C154" i="6" s="1"/>
  <c r="F153" i="6"/>
  <c r="E153" i="6" a="1"/>
  <c r="E153" i="6" s="1"/>
  <c r="D153" i="6" a="1"/>
  <c r="D153" i="6" s="1"/>
  <c r="C153" i="6" a="1"/>
  <c r="C153" i="6" s="1"/>
  <c r="F152" i="6"/>
  <c r="E152" i="6" a="1"/>
  <c r="E152" i="6" s="1"/>
  <c r="D152" i="6" a="1"/>
  <c r="D152" i="6" s="1"/>
  <c r="C152" i="6" a="1"/>
  <c r="C152" i="6" s="1"/>
  <c r="F151" i="6"/>
  <c r="E151" i="6" a="1"/>
  <c r="E151" i="6" s="1"/>
  <c r="D151" i="6" a="1"/>
  <c r="D151" i="6" s="1"/>
  <c r="C151" i="6" a="1"/>
  <c r="C151" i="6" s="1"/>
  <c r="F150" i="6"/>
  <c r="E150" i="6" a="1"/>
  <c r="E150" i="6" s="1"/>
  <c r="D150" i="6" a="1"/>
  <c r="D150" i="6" s="1"/>
  <c r="C150" i="6" a="1"/>
  <c r="C150" i="6" s="1"/>
  <c r="F149" i="6"/>
  <c r="E149" i="6" a="1"/>
  <c r="E149" i="6" s="1"/>
  <c r="D149" i="6" a="1"/>
  <c r="D149" i="6" s="1"/>
  <c r="C149" i="6" a="1"/>
  <c r="C149" i="6" s="1"/>
  <c r="F148" i="6"/>
  <c r="E148" i="6" a="1"/>
  <c r="E148" i="6" s="1"/>
  <c r="D148" i="6" a="1"/>
  <c r="D148" i="6" s="1"/>
  <c r="C148" i="6" a="1"/>
  <c r="C148" i="6" s="1"/>
  <c r="F147" i="6"/>
  <c r="E147" i="6" a="1"/>
  <c r="E147" i="6" s="1"/>
  <c r="D147" i="6" a="1"/>
  <c r="D147" i="6" s="1"/>
  <c r="C147" i="6" a="1"/>
  <c r="C147" i="6" s="1"/>
  <c r="F146" i="6"/>
  <c r="E146" i="6" a="1"/>
  <c r="E146" i="6" s="1"/>
  <c r="D146" i="6" a="1"/>
  <c r="D146" i="6" s="1"/>
  <c r="C146" i="6" a="1"/>
  <c r="C146" i="6" s="1"/>
  <c r="F145" i="6"/>
  <c r="E145" i="6" a="1"/>
  <c r="E145" i="6" s="1"/>
  <c r="D145" i="6" a="1"/>
  <c r="D145" i="6" s="1"/>
  <c r="C145" i="6" a="1"/>
  <c r="C145" i="6" s="1"/>
  <c r="F144" i="6"/>
  <c r="E144" i="6" a="1"/>
  <c r="E144" i="6" s="1"/>
  <c r="D144" i="6" a="1"/>
  <c r="D144" i="6" s="1"/>
  <c r="C144" i="6" a="1"/>
  <c r="C144" i="6" s="1"/>
  <c r="F143" i="6"/>
  <c r="E143" i="6" a="1"/>
  <c r="E143" i="6" s="1"/>
  <c r="D143" i="6" a="1"/>
  <c r="D143" i="6" s="1"/>
  <c r="C143" i="6" a="1"/>
  <c r="C143" i="6" s="1"/>
  <c r="F142" i="6"/>
  <c r="E142" i="6" a="1"/>
  <c r="E142" i="6" s="1"/>
  <c r="D142" i="6" a="1"/>
  <c r="D142" i="6" s="1"/>
  <c r="C142" i="6" a="1"/>
  <c r="C142" i="6" s="1"/>
  <c r="F141" i="6"/>
  <c r="E141" i="6" a="1"/>
  <c r="E141" i="6" s="1"/>
  <c r="D141" i="6" a="1"/>
  <c r="D141" i="6" s="1"/>
  <c r="C141" i="6" a="1"/>
  <c r="C141" i="6" s="1"/>
  <c r="F140" i="6"/>
  <c r="E140" i="6" a="1"/>
  <c r="E140" i="6" s="1"/>
  <c r="D140" i="6" a="1"/>
  <c r="D140" i="6" s="1"/>
  <c r="C140" i="6" a="1"/>
  <c r="C140" i="6" s="1"/>
  <c r="F139" i="6"/>
  <c r="E139" i="6" a="1"/>
  <c r="E139" i="6" s="1"/>
  <c r="D139" i="6" a="1"/>
  <c r="D139" i="6" s="1"/>
  <c r="C139" i="6" a="1"/>
  <c r="C139" i="6" s="1"/>
  <c r="F138" i="6"/>
  <c r="E138" i="6" a="1"/>
  <c r="E138" i="6" s="1"/>
  <c r="D138" i="6" a="1"/>
  <c r="D138" i="6" s="1"/>
  <c r="C138" i="6" a="1"/>
  <c r="C138" i="6" s="1"/>
  <c r="F137" i="6"/>
  <c r="E137" i="6" a="1"/>
  <c r="E137" i="6" s="1"/>
  <c r="D137" i="6" a="1"/>
  <c r="D137" i="6" s="1"/>
  <c r="C137" i="6" a="1"/>
  <c r="C137" i="6" s="1"/>
  <c r="F136" i="6"/>
  <c r="E136" i="6" a="1"/>
  <c r="E136" i="6" s="1"/>
  <c r="D136" i="6" a="1"/>
  <c r="D136" i="6" s="1"/>
  <c r="C136" i="6" a="1"/>
  <c r="C136" i="6" s="1"/>
  <c r="F135" i="6"/>
  <c r="E135" i="6" a="1"/>
  <c r="E135" i="6" s="1"/>
  <c r="D135" i="6" a="1"/>
  <c r="D135" i="6" s="1"/>
  <c r="C135" i="6" a="1"/>
  <c r="C135" i="6" s="1"/>
  <c r="F134" i="6"/>
  <c r="E134" i="6" a="1"/>
  <c r="E134" i="6" s="1"/>
  <c r="D134" i="6" a="1"/>
  <c r="D134" i="6" s="1"/>
  <c r="C134" i="6" a="1"/>
  <c r="C134" i="6" s="1"/>
  <c r="F133" i="6"/>
  <c r="E133" i="6" a="1"/>
  <c r="E133" i="6" s="1"/>
  <c r="D133" i="6" a="1"/>
  <c r="D133" i="6" s="1"/>
  <c r="C133" i="6" a="1"/>
  <c r="C133" i="6" s="1"/>
  <c r="F132" i="6"/>
  <c r="E132" i="6" a="1"/>
  <c r="E132" i="6" s="1"/>
  <c r="D132" i="6" a="1"/>
  <c r="D132" i="6" s="1"/>
  <c r="C132" i="6" a="1"/>
  <c r="C132" i="6" s="1"/>
  <c r="F131" i="6"/>
  <c r="E131" i="6" a="1"/>
  <c r="E131" i="6" s="1"/>
  <c r="D131" i="6" a="1"/>
  <c r="D131" i="6" s="1"/>
  <c r="C131" i="6" a="1"/>
  <c r="C131" i="6" s="1"/>
  <c r="F130" i="6"/>
  <c r="E130" i="6" a="1"/>
  <c r="E130" i="6" s="1"/>
  <c r="D130" i="6" a="1"/>
  <c r="D130" i="6" s="1"/>
  <c r="C130" i="6" a="1"/>
  <c r="C130" i="6" s="1"/>
  <c r="F129" i="6"/>
  <c r="E129" i="6" a="1"/>
  <c r="E129" i="6" s="1"/>
  <c r="D129" i="6" a="1"/>
  <c r="D129" i="6" s="1"/>
  <c r="C129" i="6" a="1"/>
  <c r="C129" i="6" s="1"/>
  <c r="F128" i="6"/>
  <c r="E128" i="6" a="1"/>
  <c r="E128" i="6" s="1"/>
  <c r="D128" i="6" a="1"/>
  <c r="D128" i="6" s="1"/>
  <c r="C128" i="6" a="1"/>
  <c r="C128" i="6" s="1"/>
  <c r="F127" i="6"/>
  <c r="E127" i="6" a="1"/>
  <c r="E127" i="6" s="1"/>
  <c r="D127" i="6" a="1"/>
  <c r="D127" i="6" s="1"/>
  <c r="C127" i="6" a="1"/>
  <c r="C127" i="6" s="1"/>
  <c r="F126" i="6"/>
  <c r="E126" i="6" a="1"/>
  <c r="E126" i="6" s="1"/>
  <c r="D126" i="6" a="1"/>
  <c r="D126" i="6" s="1"/>
  <c r="C126" i="6" a="1"/>
  <c r="C126" i="6" s="1"/>
  <c r="F125" i="6"/>
  <c r="E125" i="6" a="1"/>
  <c r="E125" i="6" s="1"/>
  <c r="D125" i="6" a="1"/>
  <c r="D125" i="6" s="1"/>
  <c r="C125" i="6" a="1"/>
  <c r="C125" i="6" s="1"/>
  <c r="F124" i="6"/>
  <c r="E124" i="6" a="1"/>
  <c r="E124" i="6" s="1"/>
  <c r="D124" i="6" a="1"/>
  <c r="D124" i="6" s="1"/>
  <c r="C124" i="6" a="1"/>
  <c r="C124" i="6" s="1"/>
  <c r="F123" i="6"/>
  <c r="E123" i="6" a="1"/>
  <c r="E123" i="6" s="1"/>
  <c r="D123" i="6" a="1"/>
  <c r="D123" i="6" s="1"/>
  <c r="C123" i="6" a="1"/>
  <c r="C123" i="6" s="1"/>
  <c r="F122" i="6"/>
  <c r="E122" i="6" a="1"/>
  <c r="E122" i="6" s="1"/>
  <c r="D122" i="6" a="1"/>
  <c r="D122" i="6" s="1"/>
  <c r="C122" i="6" a="1"/>
  <c r="C122" i="6" s="1"/>
  <c r="F121" i="6"/>
  <c r="E121" i="6" a="1"/>
  <c r="E121" i="6" s="1"/>
  <c r="D121" i="6" a="1"/>
  <c r="D121" i="6" s="1"/>
  <c r="C121" i="6" a="1"/>
  <c r="C121" i="6" s="1"/>
  <c r="F120" i="6"/>
  <c r="E120" i="6" a="1"/>
  <c r="E120" i="6" s="1"/>
  <c r="D120" i="6" a="1"/>
  <c r="D120" i="6" s="1"/>
  <c r="C120" i="6" a="1"/>
  <c r="C120" i="6" s="1"/>
  <c r="F119" i="6"/>
  <c r="E119" i="6" a="1"/>
  <c r="E119" i="6" s="1"/>
  <c r="D119" i="6" a="1"/>
  <c r="D119" i="6" s="1"/>
  <c r="C119" i="6" a="1"/>
  <c r="C119" i="6" s="1"/>
  <c r="F118" i="6"/>
  <c r="E118" i="6" a="1"/>
  <c r="E118" i="6" s="1"/>
  <c r="D118" i="6" a="1"/>
  <c r="D118" i="6" s="1"/>
  <c r="C118" i="6" a="1"/>
  <c r="C118" i="6" s="1"/>
  <c r="F117" i="6"/>
  <c r="E117" i="6" a="1"/>
  <c r="E117" i="6" s="1"/>
  <c r="D117" i="6" a="1"/>
  <c r="D117" i="6" s="1"/>
  <c r="C117" i="6" a="1"/>
  <c r="C117" i="6" s="1"/>
  <c r="F116" i="6"/>
  <c r="E116" i="6" a="1"/>
  <c r="E116" i="6" s="1"/>
  <c r="D116" i="6" a="1"/>
  <c r="D116" i="6" s="1"/>
  <c r="C116" i="6" a="1"/>
  <c r="C116" i="6" s="1"/>
  <c r="F115" i="6"/>
  <c r="E115" i="6" a="1"/>
  <c r="E115" i="6" s="1"/>
  <c r="D115" i="6" a="1"/>
  <c r="D115" i="6" s="1"/>
  <c r="C115" i="6" a="1"/>
  <c r="C115" i="6" s="1"/>
  <c r="F114" i="6"/>
  <c r="E114" i="6" a="1"/>
  <c r="E114" i="6" s="1"/>
  <c r="D114" i="6" a="1"/>
  <c r="D114" i="6" s="1"/>
  <c r="C114" i="6" a="1"/>
  <c r="C114" i="6" s="1"/>
  <c r="F113" i="6"/>
  <c r="E113" i="6" a="1"/>
  <c r="E113" i="6" s="1"/>
  <c r="D113" i="6" a="1"/>
  <c r="D113" i="6" s="1"/>
  <c r="C113" i="6" a="1"/>
  <c r="C113" i="6" s="1"/>
  <c r="F112" i="6"/>
  <c r="E112" i="6" a="1"/>
  <c r="E112" i="6" s="1"/>
  <c r="D112" i="6" a="1"/>
  <c r="D112" i="6" s="1"/>
  <c r="C112" i="6" a="1"/>
  <c r="C112" i="6" s="1"/>
  <c r="F111" i="6"/>
  <c r="E111" i="6" a="1"/>
  <c r="E111" i="6" s="1"/>
  <c r="D111" i="6" a="1"/>
  <c r="D111" i="6" s="1"/>
  <c r="C111" i="6" a="1"/>
  <c r="C111" i="6" s="1"/>
  <c r="F110" i="6"/>
  <c r="E110" i="6" a="1"/>
  <c r="E110" i="6" s="1"/>
  <c r="D110" i="6" a="1"/>
  <c r="D110" i="6" s="1"/>
  <c r="C110" i="6" a="1"/>
  <c r="C110" i="6" s="1"/>
  <c r="F109" i="6"/>
  <c r="E109" i="6" a="1"/>
  <c r="E109" i="6" s="1"/>
  <c r="D109" i="6" a="1"/>
  <c r="D109" i="6" s="1"/>
  <c r="C109" i="6" a="1"/>
  <c r="C109" i="6" s="1"/>
  <c r="F108" i="6"/>
  <c r="E108" i="6" a="1"/>
  <c r="E108" i="6" s="1"/>
  <c r="D108" i="6" a="1"/>
  <c r="D108" i="6" s="1"/>
  <c r="C108" i="6" a="1"/>
  <c r="C108" i="6" s="1"/>
  <c r="F107" i="6"/>
  <c r="E107" i="6" a="1"/>
  <c r="E107" i="6" s="1"/>
  <c r="D107" i="6" a="1"/>
  <c r="D107" i="6" s="1"/>
  <c r="C107" i="6" a="1"/>
  <c r="C107" i="6" s="1"/>
  <c r="F106" i="6"/>
  <c r="E106" i="6" a="1"/>
  <c r="E106" i="6" s="1"/>
  <c r="D106" i="6" a="1"/>
  <c r="D106" i="6" s="1"/>
  <c r="C106" i="6" a="1"/>
  <c r="C106" i="6" s="1"/>
  <c r="F105" i="6"/>
  <c r="E105" i="6" a="1"/>
  <c r="E105" i="6" s="1"/>
  <c r="D105" i="6" a="1"/>
  <c r="D105" i="6" s="1"/>
  <c r="C105" i="6" a="1"/>
  <c r="C105" i="6" s="1"/>
  <c r="F104" i="6"/>
  <c r="E104" i="6" a="1"/>
  <c r="E104" i="6" s="1"/>
  <c r="D104" i="6" a="1"/>
  <c r="D104" i="6" s="1"/>
  <c r="C104" i="6" a="1"/>
  <c r="C104" i="6" s="1"/>
  <c r="F103" i="6"/>
  <c r="E103" i="6" a="1"/>
  <c r="E103" i="6" s="1"/>
  <c r="D103" i="6" a="1"/>
  <c r="D103" i="6" s="1"/>
  <c r="C103" i="6" a="1"/>
  <c r="C103" i="6" s="1"/>
  <c r="F102" i="6"/>
  <c r="E102" i="6" a="1"/>
  <c r="E102" i="6" s="1"/>
  <c r="D102" i="6" a="1"/>
  <c r="D102" i="6" s="1"/>
  <c r="C102" i="6" a="1"/>
  <c r="C102" i="6" s="1"/>
  <c r="F101" i="6"/>
  <c r="E101" i="6" a="1"/>
  <c r="E101" i="6" s="1"/>
  <c r="D101" i="6" a="1"/>
  <c r="D101" i="6" s="1"/>
  <c r="C101" i="6" a="1"/>
  <c r="C101" i="6" s="1"/>
  <c r="F100" i="6"/>
  <c r="E100" i="6" a="1"/>
  <c r="E100" i="6" s="1"/>
  <c r="D100" i="6" a="1"/>
  <c r="D100" i="6" s="1"/>
  <c r="C100" i="6" a="1"/>
  <c r="C100" i="6" s="1"/>
  <c r="F99" i="6"/>
  <c r="E99" i="6" a="1"/>
  <c r="E99" i="6" s="1"/>
  <c r="D99" i="6" a="1"/>
  <c r="D99" i="6" s="1"/>
  <c r="C99" i="6" a="1"/>
  <c r="C99" i="6" s="1"/>
  <c r="F98" i="6"/>
  <c r="E98" i="6" a="1"/>
  <c r="E98" i="6" s="1"/>
  <c r="D98" i="6" a="1"/>
  <c r="D98" i="6" s="1"/>
  <c r="C98" i="6" a="1"/>
  <c r="C98" i="6" s="1"/>
  <c r="F97" i="6"/>
  <c r="E97" i="6" a="1"/>
  <c r="E97" i="6" s="1"/>
  <c r="D97" i="6" a="1"/>
  <c r="D97" i="6" s="1"/>
  <c r="C97" i="6" a="1"/>
  <c r="C97" i="6" s="1"/>
  <c r="F96" i="6"/>
  <c r="E96" i="6" a="1"/>
  <c r="E96" i="6" s="1"/>
  <c r="D96" i="6" a="1"/>
  <c r="D96" i="6" s="1"/>
  <c r="C96" i="6" a="1"/>
  <c r="C96" i="6" s="1"/>
  <c r="F95" i="6"/>
  <c r="E95" i="6" a="1"/>
  <c r="E95" i="6" s="1"/>
  <c r="D95" i="6" a="1"/>
  <c r="D95" i="6" s="1"/>
  <c r="C95" i="6" a="1"/>
  <c r="C95" i="6" s="1"/>
  <c r="F94" i="6"/>
  <c r="E94" i="6" a="1"/>
  <c r="E94" i="6" s="1"/>
  <c r="D94" i="6" a="1"/>
  <c r="D94" i="6" s="1"/>
  <c r="C94" i="6" a="1"/>
  <c r="C94" i="6" s="1"/>
  <c r="F93" i="6"/>
  <c r="E93" i="6" a="1"/>
  <c r="E93" i="6" s="1"/>
  <c r="D93" i="6" a="1"/>
  <c r="D93" i="6" s="1"/>
  <c r="C93" i="6" a="1"/>
  <c r="C93" i="6" s="1"/>
  <c r="F92" i="6"/>
  <c r="E92" i="6" a="1"/>
  <c r="E92" i="6" s="1"/>
  <c r="D92" i="6" a="1"/>
  <c r="D92" i="6" s="1"/>
  <c r="C92" i="6" a="1"/>
  <c r="C92" i="6" s="1"/>
  <c r="F91" i="6"/>
  <c r="E91" i="6" a="1"/>
  <c r="E91" i="6" s="1"/>
  <c r="D91" i="6" a="1"/>
  <c r="D91" i="6" s="1"/>
  <c r="C91" i="6" a="1"/>
  <c r="C91" i="6" s="1"/>
  <c r="F90" i="6"/>
  <c r="E90" i="6" a="1"/>
  <c r="E90" i="6" s="1"/>
  <c r="D90" i="6" a="1"/>
  <c r="D90" i="6" s="1"/>
  <c r="C90" i="6" a="1"/>
  <c r="C90" i="6" s="1"/>
  <c r="F89" i="6"/>
  <c r="E89" i="6" a="1"/>
  <c r="E89" i="6" s="1"/>
  <c r="D89" i="6" a="1"/>
  <c r="D89" i="6" s="1"/>
  <c r="C89" i="6" a="1"/>
  <c r="C89" i="6" s="1"/>
  <c r="F88" i="6"/>
  <c r="E88" i="6" a="1"/>
  <c r="E88" i="6" s="1"/>
  <c r="D88" i="6" a="1"/>
  <c r="D88" i="6" s="1"/>
  <c r="C88" i="6" a="1"/>
  <c r="C88" i="6" s="1"/>
  <c r="F87" i="6"/>
  <c r="E87" i="6" a="1"/>
  <c r="E87" i="6" s="1"/>
  <c r="D87" i="6" a="1"/>
  <c r="D87" i="6" s="1"/>
  <c r="C87" i="6" a="1"/>
  <c r="C87" i="6" s="1"/>
  <c r="F86" i="6"/>
  <c r="E86" i="6" a="1"/>
  <c r="E86" i="6" s="1"/>
  <c r="D86" i="6" a="1"/>
  <c r="D86" i="6" s="1"/>
  <c r="C86" i="6" a="1"/>
  <c r="C86" i="6" s="1"/>
  <c r="F85" i="6"/>
  <c r="E85" i="6" a="1"/>
  <c r="E85" i="6" s="1"/>
  <c r="D85" i="6" a="1"/>
  <c r="D85" i="6" s="1"/>
  <c r="C85" i="6" a="1"/>
  <c r="C85" i="6" s="1"/>
  <c r="F84" i="6"/>
  <c r="E84" i="6" a="1"/>
  <c r="E84" i="6" s="1"/>
  <c r="D84" i="6" a="1"/>
  <c r="D84" i="6" s="1"/>
  <c r="C84" i="6" a="1"/>
  <c r="C84" i="6" s="1"/>
  <c r="F83" i="6"/>
  <c r="E83" i="6" a="1"/>
  <c r="E83" i="6" s="1"/>
  <c r="D83" i="6" a="1"/>
  <c r="D83" i="6" s="1"/>
  <c r="C83" i="6" a="1"/>
  <c r="C83" i="6" s="1"/>
  <c r="F82" i="6"/>
  <c r="E82" i="6" a="1"/>
  <c r="E82" i="6" s="1"/>
  <c r="D82" i="6" a="1"/>
  <c r="D82" i="6" s="1"/>
  <c r="C82" i="6" a="1"/>
  <c r="C82" i="6" s="1"/>
  <c r="F81" i="6"/>
  <c r="E81" i="6" a="1"/>
  <c r="E81" i="6" s="1"/>
  <c r="D81" i="6" a="1"/>
  <c r="D81" i="6" s="1"/>
  <c r="C81" i="6" a="1"/>
  <c r="C81" i="6" s="1"/>
  <c r="F80" i="6"/>
  <c r="E80" i="6" a="1"/>
  <c r="E80" i="6" s="1"/>
  <c r="D80" i="6" a="1"/>
  <c r="D80" i="6" s="1"/>
  <c r="C80" i="6" a="1"/>
  <c r="C80" i="6" s="1"/>
  <c r="F79" i="6"/>
  <c r="E79" i="6" a="1"/>
  <c r="E79" i="6" s="1"/>
  <c r="D79" i="6" a="1"/>
  <c r="D79" i="6" s="1"/>
  <c r="C79" i="6" a="1"/>
  <c r="C79" i="6" s="1"/>
  <c r="F78" i="6"/>
  <c r="E78" i="6" a="1"/>
  <c r="E78" i="6" s="1"/>
  <c r="D78" i="6" a="1"/>
  <c r="D78" i="6" s="1"/>
  <c r="C78" i="6" a="1"/>
  <c r="C78" i="6" s="1"/>
  <c r="F77" i="6"/>
  <c r="E77" i="6" a="1"/>
  <c r="E77" i="6" s="1"/>
  <c r="D77" i="6" a="1"/>
  <c r="D77" i="6" s="1"/>
  <c r="C77" i="6" a="1"/>
  <c r="C77" i="6" s="1"/>
  <c r="F76" i="6"/>
  <c r="E76" i="6" a="1"/>
  <c r="E76" i="6" s="1"/>
  <c r="D76" i="6" a="1"/>
  <c r="D76" i="6" s="1"/>
  <c r="C76" i="6" a="1"/>
  <c r="C76" i="6" s="1"/>
  <c r="F75" i="6"/>
  <c r="E75" i="6" a="1"/>
  <c r="E75" i="6" s="1"/>
  <c r="D75" i="6" a="1"/>
  <c r="D75" i="6" s="1"/>
  <c r="C75" i="6" a="1"/>
  <c r="C75" i="6" s="1"/>
  <c r="F74" i="6"/>
  <c r="E74" i="6" a="1"/>
  <c r="E74" i="6" s="1"/>
  <c r="D74" i="6" a="1"/>
  <c r="D74" i="6" s="1"/>
  <c r="C74" i="6" a="1"/>
  <c r="C74" i="6" s="1"/>
  <c r="F73" i="6"/>
  <c r="E73" i="6" a="1"/>
  <c r="E73" i="6" s="1"/>
  <c r="D73" i="6" a="1"/>
  <c r="D73" i="6" s="1"/>
  <c r="C73" i="6" a="1"/>
  <c r="C73" i="6" s="1"/>
  <c r="F72" i="6"/>
  <c r="E72" i="6" a="1"/>
  <c r="E72" i="6" s="1"/>
  <c r="D72" i="6" a="1"/>
  <c r="D72" i="6" s="1"/>
  <c r="C72" i="6" a="1"/>
  <c r="C72" i="6" s="1"/>
  <c r="F71" i="6"/>
  <c r="E71" i="6" a="1"/>
  <c r="E71" i="6" s="1"/>
  <c r="D71" i="6" a="1"/>
  <c r="D71" i="6" s="1"/>
  <c r="C71" i="6" a="1"/>
  <c r="C71" i="6" s="1"/>
  <c r="F70" i="6"/>
  <c r="E70" i="6" a="1"/>
  <c r="E70" i="6" s="1"/>
  <c r="D70" i="6" a="1"/>
  <c r="D70" i="6" s="1"/>
  <c r="C70" i="6" a="1"/>
  <c r="C70" i="6" s="1"/>
  <c r="F69" i="6"/>
  <c r="E69" i="6" a="1"/>
  <c r="E69" i="6" s="1"/>
  <c r="D69" i="6" a="1"/>
  <c r="D69" i="6" s="1"/>
  <c r="C69" i="6" a="1"/>
  <c r="C69" i="6" s="1"/>
  <c r="F68" i="6"/>
  <c r="E68" i="6" a="1"/>
  <c r="E68" i="6" s="1"/>
  <c r="D68" i="6" a="1"/>
  <c r="D68" i="6" s="1"/>
  <c r="C68" i="6" a="1"/>
  <c r="C68" i="6" s="1"/>
  <c r="F67" i="6"/>
  <c r="E67" i="6" a="1"/>
  <c r="E67" i="6" s="1"/>
  <c r="D67" i="6" a="1"/>
  <c r="D67" i="6" s="1"/>
  <c r="C67" i="6" a="1"/>
  <c r="C67" i="6" s="1"/>
  <c r="F66" i="6"/>
  <c r="E66" i="6" a="1"/>
  <c r="E66" i="6" s="1"/>
  <c r="D66" i="6" a="1"/>
  <c r="D66" i="6" s="1"/>
  <c r="C66" i="6" a="1"/>
  <c r="C66" i="6" s="1"/>
  <c r="F65" i="6"/>
  <c r="E65" i="6" a="1"/>
  <c r="E65" i="6" s="1"/>
  <c r="D65" i="6" a="1"/>
  <c r="D65" i="6" s="1"/>
  <c r="C65" i="6" a="1"/>
  <c r="C65" i="6" s="1"/>
  <c r="F64" i="6"/>
  <c r="E64" i="6" a="1"/>
  <c r="E64" i="6" s="1"/>
  <c r="D64" i="6" a="1"/>
  <c r="D64" i="6" s="1"/>
  <c r="C64" i="6" a="1"/>
  <c r="C64" i="6" s="1"/>
  <c r="F63" i="6"/>
  <c r="E63" i="6" a="1"/>
  <c r="E63" i="6" s="1"/>
  <c r="D63" i="6" a="1"/>
  <c r="D63" i="6" s="1"/>
  <c r="C63" i="6" a="1"/>
  <c r="C63" i="6" s="1"/>
  <c r="F62" i="6"/>
  <c r="E62" i="6" a="1"/>
  <c r="E62" i="6" s="1"/>
  <c r="D62" i="6" a="1"/>
  <c r="D62" i="6" s="1"/>
  <c r="C62" i="6" a="1"/>
  <c r="C62" i="6" s="1"/>
  <c r="F61" i="6"/>
  <c r="E61" i="6" a="1"/>
  <c r="E61" i="6" s="1"/>
  <c r="D61" i="6" a="1"/>
  <c r="D61" i="6" s="1"/>
  <c r="C61" i="6" a="1"/>
  <c r="C61" i="6" s="1"/>
  <c r="F60" i="6"/>
  <c r="E60" i="6" a="1"/>
  <c r="E60" i="6" s="1"/>
  <c r="D60" i="6" a="1"/>
  <c r="D60" i="6" s="1"/>
  <c r="C60" i="6" a="1"/>
  <c r="C60" i="6" s="1"/>
  <c r="F59" i="6"/>
  <c r="E59" i="6" a="1"/>
  <c r="E59" i="6" s="1"/>
  <c r="D59" i="6" a="1"/>
  <c r="D59" i="6" s="1"/>
  <c r="C59" i="6" a="1"/>
  <c r="C59" i="6" s="1"/>
  <c r="F58" i="6"/>
  <c r="E58" i="6" a="1"/>
  <c r="E58" i="6" s="1"/>
  <c r="D58" i="6" a="1"/>
  <c r="D58" i="6" s="1"/>
  <c r="C58" i="6" a="1"/>
  <c r="C58" i="6" s="1"/>
  <c r="F57" i="6"/>
  <c r="E57" i="6" a="1"/>
  <c r="E57" i="6" s="1"/>
  <c r="D57" i="6" a="1"/>
  <c r="D57" i="6" s="1"/>
  <c r="C57" i="6" a="1"/>
  <c r="C57" i="6" s="1"/>
  <c r="F56" i="6"/>
  <c r="E56" i="6" a="1"/>
  <c r="E56" i="6" s="1"/>
  <c r="D56" i="6" a="1"/>
  <c r="D56" i="6" s="1"/>
  <c r="C56" i="6" a="1"/>
  <c r="C56" i="6" s="1"/>
  <c r="F55" i="6"/>
  <c r="E55" i="6" a="1"/>
  <c r="E55" i="6" s="1"/>
  <c r="D55" i="6" a="1"/>
  <c r="D55" i="6" s="1"/>
  <c r="C55" i="6" a="1"/>
  <c r="C55" i="6" s="1"/>
  <c r="F54" i="6"/>
  <c r="E54" i="6" a="1"/>
  <c r="E54" i="6" s="1"/>
  <c r="D54" i="6" a="1"/>
  <c r="D54" i="6" s="1"/>
  <c r="C54" i="6" a="1"/>
  <c r="C54" i="6" s="1"/>
  <c r="F53" i="6"/>
  <c r="E53" i="6" a="1"/>
  <c r="E53" i="6" s="1"/>
  <c r="D53" i="6" a="1"/>
  <c r="D53" i="6" s="1"/>
  <c r="C53" i="6" a="1"/>
  <c r="C53" i="6" s="1"/>
  <c r="F52" i="6"/>
  <c r="E52" i="6" a="1"/>
  <c r="E52" i="6" s="1"/>
  <c r="D52" i="6" a="1"/>
  <c r="D52" i="6" s="1"/>
  <c r="C52" i="6" a="1"/>
  <c r="C52" i="6" s="1"/>
  <c r="F51" i="6"/>
  <c r="E51" i="6" a="1"/>
  <c r="E51" i="6" s="1"/>
  <c r="D51" i="6" a="1"/>
  <c r="D51" i="6" s="1"/>
  <c r="C51" i="6" a="1"/>
  <c r="C51" i="6" s="1"/>
  <c r="F50" i="6"/>
  <c r="E50" i="6" a="1"/>
  <c r="E50" i="6" s="1"/>
  <c r="D50" i="6" a="1"/>
  <c r="D50" i="6" s="1"/>
  <c r="C50" i="6" a="1"/>
  <c r="C50" i="6" s="1"/>
  <c r="F49" i="6"/>
  <c r="E49" i="6" a="1"/>
  <c r="E49" i="6" s="1"/>
  <c r="D49" i="6" a="1"/>
  <c r="D49" i="6" s="1"/>
  <c r="C49" i="6" a="1"/>
  <c r="C49" i="6" s="1"/>
  <c r="F48" i="6"/>
  <c r="E48" i="6" a="1"/>
  <c r="E48" i="6" s="1"/>
  <c r="D48" i="6" a="1"/>
  <c r="D48" i="6" s="1"/>
  <c r="C48" i="6" a="1"/>
  <c r="C48" i="6" s="1"/>
  <c r="F47" i="6"/>
  <c r="E47" i="6" a="1"/>
  <c r="E47" i="6" s="1"/>
  <c r="D47" i="6" a="1"/>
  <c r="D47" i="6" s="1"/>
  <c r="C47" i="6" a="1"/>
  <c r="C47" i="6" s="1"/>
  <c r="F46" i="6"/>
  <c r="E46" i="6" a="1"/>
  <c r="E46" i="6" s="1"/>
  <c r="D46" i="6" a="1"/>
  <c r="D46" i="6" s="1"/>
  <c r="C46" i="6" a="1"/>
  <c r="C46" i="6" s="1"/>
  <c r="F45" i="6"/>
  <c r="E45" i="6" a="1"/>
  <c r="E45" i="6" s="1"/>
  <c r="D45" i="6" a="1"/>
  <c r="D45" i="6" s="1"/>
  <c r="C45" i="6" a="1"/>
  <c r="C45" i="6" s="1"/>
  <c r="F44" i="6"/>
  <c r="E44" i="6" a="1"/>
  <c r="E44" i="6" s="1"/>
  <c r="D44" i="6" a="1"/>
  <c r="D44" i="6" s="1"/>
  <c r="C44" i="6" a="1"/>
  <c r="C44" i="6" s="1"/>
  <c r="F43" i="6"/>
  <c r="E43" i="6" a="1"/>
  <c r="E43" i="6" s="1"/>
  <c r="D43" i="6" a="1"/>
  <c r="D43" i="6" s="1"/>
  <c r="C43" i="6" a="1"/>
  <c r="C43" i="6" s="1"/>
  <c r="F42" i="6"/>
  <c r="E42" i="6" a="1"/>
  <c r="E42" i="6" s="1"/>
  <c r="D42" i="6" a="1"/>
  <c r="D42" i="6" s="1"/>
  <c r="C42" i="6" a="1"/>
  <c r="C42" i="6" s="1"/>
  <c r="F41" i="6"/>
  <c r="E41" i="6" a="1"/>
  <c r="E41" i="6" s="1"/>
  <c r="D41" i="6" a="1"/>
  <c r="D41" i="6" s="1"/>
  <c r="C41" i="6" a="1"/>
  <c r="C41" i="6" s="1"/>
  <c r="F40" i="6"/>
  <c r="E40" i="6" a="1"/>
  <c r="E40" i="6" s="1"/>
  <c r="D40" i="6" a="1"/>
  <c r="D40" i="6" s="1"/>
  <c r="C40" i="6" a="1"/>
  <c r="C40" i="6" s="1"/>
  <c r="F39" i="6"/>
  <c r="E39" i="6" a="1"/>
  <c r="E39" i="6" s="1"/>
  <c r="D39" i="6" a="1"/>
  <c r="D39" i="6" s="1"/>
  <c r="C39" i="6" a="1"/>
  <c r="C39" i="6" s="1"/>
  <c r="F38" i="6"/>
  <c r="E38" i="6" a="1"/>
  <c r="E38" i="6" s="1"/>
  <c r="D38" i="6" a="1"/>
  <c r="D38" i="6" s="1"/>
  <c r="C38" i="6" a="1"/>
  <c r="C38" i="6" s="1"/>
  <c r="F37" i="6"/>
  <c r="E37" i="6" a="1"/>
  <c r="E37" i="6" s="1"/>
  <c r="D37" i="6" a="1"/>
  <c r="D37" i="6" s="1"/>
  <c r="C37" i="6" a="1"/>
  <c r="C37" i="6" s="1"/>
  <c r="F36" i="6"/>
  <c r="E36" i="6" a="1"/>
  <c r="E36" i="6" s="1"/>
  <c r="D36" i="6" a="1"/>
  <c r="D36" i="6" s="1"/>
  <c r="C36" i="6" a="1"/>
  <c r="C36" i="6" s="1"/>
  <c r="F35" i="6"/>
  <c r="E35" i="6" a="1"/>
  <c r="E35" i="6" s="1"/>
  <c r="D35" i="6" a="1"/>
  <c r="D35" i="6" s="1"/>
  <c r="C35" i="6" a="1"/>
  <c r="C35" i="6" s="1"/>
  <c r="F34" i="6"/>
  <c r="E34" i="6" a="1"/>
  <c r="E34" i="6" s="1"/>
  <c r="D34" i="6" a="1"/>
  <c r="D34" i="6" s="1"/>
  <c r="C34" i="6" a="1"/>
  <c r="C34" i="6" s="1"/>
  <c r="F33" i="6"/>
  <c r="E33" i="6" a="1"/>
  <c r="E33" i="6" s="1"/>
  <c r="D33" i="6" a="1"/>
  <c r="D33" i="6" s="1"/>
  <c r="C33" i="6" a="1"/>
  <c r="C33" i="6" s="1"/>
  <c r="F32" i="6"/>
  <c r="E32" i="6" a="1"/>
  <c r="E32" i="6" s="1"/>
  <c r="D32" i="6" a="1"/>
  <c r="D32" i="6" s="1"/>
  <c r="C32" i="6" a="1"/>
  <c r="C32" i="6" s="1"/>
  <c r="F31" i="6"/>
  <c r="E31" i="6" a="1"/>
  <c r="E31" i="6" s="1"/>
  <c r="D31" i="6" a="1"/>
  <c r="D31" i="6" s="1"/>
  <c r="C31" i="6" a="1"/>
  <c r="C31" i="6" s="1"/>
  <c r="F30" i="6"/>
  <c r="E30" i="6" a="1"/>
  <c r="E30" i="6" s="1"/>
  <c r="D30" i="6" a="1"/>
  <c r="D30" i="6" s="1"/>
  <c r="C30" i="6" a="1"/>
  <c r="C30" i="6" s="1"/>
  <c r="F29" i="6"/>
  <c r="E29" i="6" a="1"/>
  <c r="E29" i="6" s="1"/>
  <c r="D29" i="6" a="1"/>
  <c r="D29" i="6" s="1"/>
  <c r="C29" i="6" a="1"/>
  <c r="C29" i="6" s="1"/>
  <c r="F28" i="6"/>
  <c r="E28" i="6" a="1"/>
  <c r="E28" i="6" s="1"/>
  <c r="D28" i="6" a="1"/>
  <c r="D28" i="6" s="1"/>
  <c r="C28" i="6" a="1"/>
  <c r="C28" i="6" s="1"/>
  <c r="F27" i="6"/>
  <c r="E27" i="6" a="1"/>
  <c r="E27" i="6" s="1"/>
  <c r="D27" i="6" a="1"/>
  <c r="D27" i="6" s="1"/>
  <c r="C27" i="6" a="1"/>
  <c r="C27" i="6" s="1"/>
  <c r="F26" i="6"/>
  <c r="E26" i="6" a="1"/>
  <c r="E26" i="6" s="1"/>
  <c r="D26" i="6" a="1"/>
  <c r="D26" i="6" s="1"/>
  <c r="C26" i="6" a="1"/>
  <c r="C26" i="6" s="1"/>
  <c r="F25" i="6"/>
  <c r="E25" i="6" a="1"/>
  <c r="E25" i="6" s="1"/>
  <c r="D25" i="6" a="1"/>
  <c r="D25" i="6" s="1"/>
  <c r="C25" i="6" a="1"/>
  <c r="C25" i="6" s="1"/>
  <c r="F24" i="6"/>
  <c r="E24" i="6" a="1"/>
  <c r="E24" i="6" s="1"/>
  <c r="D24" i="6" a="1"/>
  <c r="D24" i="6" s="1"/>
  <c r="C24" i="6" a="1"/>
  <c r="C24" i="6" s="1"/>
  <c r="F23" i="6"/>
  <c r="E23" i="6" a="1"/>
  <c r="E23" i="6" s="1"/>
  <c r="D23" i="6" a="1"/>
  <c r="D23" i="6" s="1"/>
  <c r="C23" i="6" a="1"/>
  <c r="C23" i="6" s="1"/>
  <c r="F22" i="6"/>
  <c r="E22" i="6" a="1"/>
  <c r="E22" i="6" s="1"/>
  <c r="D22" i="6" a="1"/>
  <c r="D22" i="6" s="1"/>
  <c r="C22" i="6" a="1"/>
  <c r="C22" i="6" s="1"/>
  <c r="F21" i="6"/>
  <c r="E21" i="6" a="1"/>
  <c r="E21" i="6" s="1"/>
  <c r="D21" i="6" a="1"/>
  <c r="D21" i="6" s="1"/>
  <c r="C21" i="6" a="1"/>
  <c r="C21" i="6" s="1"/>
  <c r="F20" i="6"/>
  <c r="E20" i="6" a="1"/>
  <c r="E20" i="6" s="1"/>
  <c r="D20" i="6" a="1"/>
  <c r="D20" i="6" s="1"/>
  <c r="C20" i="6" a="1"/>
  <c r="C20" i="6" s="1"/>
  <c r="F19" i="6"/>
  <c r="E19" i="6" a="1"/>
  <c r="E19" i="6" s="1"/>
  <c r="D19" i="6" a="1"/>
  <c r="D19" i="6" s="1"/>
  <c r="C19" i="6" a="1"/>
  <c r="C19" i="6" s="1"/>
  <c r="F18" i="6"/>
  <c r="E18" i="6" a="1"/>
  <c r="E18" i="6" s="1"/>
  <c r="D18" i="6" a="1"/>
  <c r="D18" i="6" s="1"/>
  <c r="C18" i="6" a="1"/>
  <c r="C18" i="6" s="1"/>
  <c r="F17" i="6"/>
  <c r="E17" i="6" a="1"/>
  <c r="E17" i="6" s="1"/>
  <c r="D17" i="6" a="1"/>
  <c r="D17" i="6" s="1"/>
  <c r="C17" i="6" a="1"/>
  <c r="C17" i="6" s="1"/>
  <c r="F16" i="6"/>
  <c r="E16" i="6" a="1"/>
  <c r="E16" i="6" s="1"/>
  <c r="D16" i="6" a="1"/>
  <c r="D16" i="6" s="1"/>
  <c r="C16" i="6" a="1"/>
  <c r="C16" i="6" s="1"/>
  <c r="F15" i="6"/>
  <c r="E15" i="6" a="1"/>
  <c r="E15" i="6" s="1"/>
  <c r="D15" i="6" a="1"/>
  <c r="D15" i="6" s="1"/>
  <c r="C15" i="6" a="1"/>
  <c r="C15" i="6" s="1"/>
  <c r="F14" i="6"/>
  <c r="E14" i="6" a="1"/>
  <c r="E14" i="6" s="1"/>
  <c r="D14" i="6" a="1"/>
  <c r="D14" i="6" s="1"/>
  <c r="C14" i="6" a="1"/>
  <c r="C14" i="6" s="1"/>
  <c r="F13" i="6"/>
  <c r="E13" i="6" a="1"/>
  <c r="E13" i="6" s="1"/>
  <c r="D13" i="6" a="1"/>
  <c r="D13" i="6" s="1"/>
  <c r="C13" i="6" a="1"/>
  <c r="C13" i="6" s="1"/>
  <c r="F12" i="6"/>
  <c r="E12" i="6" a="1"/>
  <c r="E12" i="6" s="1"/>
  <c r="D12" i="6" a="1"/>
  <c r="D12" i="6" s="1"/>
  <c r="C12" i="6" a="1"/>
  <c r="C12" i="6" s="1"/>
  <c r="F11" i="6"/>
  <c r="E11" i="6" a="1"/>
  <c r="E11" i="6" s="1"/>
  <c r="D11" i="6" a="1"/>
  <c r="D11" i="6" s="1"/>
  <c r="C11" i="6" a="1"/>
  <c r="C11" i="6" s="1"/>
  <c r="F10" i="6"/>
  <c r="E10" i="6" a="1"/>
  <c r="E10" i="6" s="1"/>
  <c r="D10" i="6" a="1"/>
  <c r="D10" i="6" s="1"/>
  <c r="C10" i="6" a="1"/>
  <c r="C10" i="6" s="1"/>
  <c r="F9" i="6"/>
  <c r="E9" i="6" a="1"/>
  <c r="E9" i="6" s="1"/>
  <c r="D9" i="6" a="1"/>
  <c r="D9" i="6" s="1"/>
  <c r="C9" i="6" a="1"/>
  <c r="C9" i="6" s="1"/>
  <c r="F8" i="6"/>
  <c r="E8" i="6" a="1"/>
  <c r="E8" i="6" s="1"/>
  <c r="D8" i="6" a="1"/>
  <c r="D8" i="6" s="1"/>
  <c r="C8" i="6" a="1"/>
  <c r="C8" i="6" s="1"/>
  <c r="F7" i="6"/>
  <c r="E7" i="6" a="1"/>
  <c r="E7" i="6" s="1"/>
  <c r="D7" i="6" a="1"/>
  <c r="D7" i="6" s="1"/>
  <c r="C7" i="6" a="1"/>
  <c r="C7" i="6" s="1"/>
  <c r="F6" i="6"/>
  <c r="E6" i="6" a="1"/>
  <c r="E6" i="6" s="1"/>
  <c r="D6" i="6" a="1"/>
  <c r="D6" i="6" s="1"/>
  <c r="C6" i="6" a="1"/>
  <c r="C6" i="6" s="1"/>
  <c r="F5" i="6"/>
  <c r="E5" i="6" a="1"/>
  <c r="E5" i="6" s="1"/>
  <c r="D5" i="6" a="1"/>
  <c r="D5" i="6" s="1"/>
  <c r="C5" i="6" a="1"/>
  <c r="C5" i="6" s="1"/>
  <c r="F4" i="6"/>
  <c r="E4" i="6" a="1"/>
  <c r="E4" i="6" s="1"/>
  <c r="D4" i="6" a="1"/>
  <c r="D4" i="6" s="1"/>
  <c r="C4" i="6" a="1"/>
  <c r="C4" i="6" s="1"/>
  <c r="F3" i="6"/>
  <c r="E3" i="6" a="1"/>
  <c r="E3" i="6" s="1"/>
  <c r="D3" i="6" a="1"/>
  <c r="D3" i="6" s="1"/>
  <c r="C3" i="6" a="1"/>
  <c r="C3" i="6" s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3" i="4"/>
  <c r="E4" i="4" a="1"/>
  <c r="E4" i="4"/>
  <c r="E5" i="4" a="1"/>
  <c r="E5" i="4"/>
  <c r="E6" i="4" a="1"/>
  <c r="E6" i="4"/>
  <c r="E7" i="4" a="1"/>
  <c r="E7" i="4"/>
  <c r="E8" i="4" a="1"/>
  <c r="E8" i="4"/>
  <c r="E9" i="4" a="1"/>
  <c r="E9" i="4"/>
  <c r="E10" i="4" a="1"/>
  <c r="E10" i="4"/>
  <c r="E11" i="4" a="1"/>
  <c r="E11" i="4"/>
  <c r="E12" i="4" a="1"/>
  <c r="E12" i="4"/>
  <c r="E13" i="4" a="1"/>
  <c r="E13" i="4"/>
  <c r="E14" i="4" a="1"/>
  <c r="E14" i="4"/>
  <c r="E15" i="4" a="1"/>
  <c r="E15" i="4"/>
  <c r="E16" i="4" a="1"/>
  <c r="E16" i="4"/>
  <c r="E17" i="4" a="1"/>
  <c r="E17" i="4"/>
  <c r="E18" i="4" a="1"/>
  <c r="E18" i="4"/>
  <c r="E19" i="4" a="1"/>
  <c r="E19" i="4"/>
  <c r="E20" i="4" a="1"/>
  <c r="E20" i="4"/>
  <c r="E21" i="4" a="1"/>
  <c r="E21" i="4"/>
  <c r="E22" i="4" a="1"/>
  <c r="E22" i="4"/>
  <c r="E23" i="4" a="1"/>
  <c r="E23" i="4"/>
  <c r="E24" i="4" a="1"/>
  <c r="E24" i="4"/>
  <c r="E25" i="4" a="1"/>
  <c r="E25" i="4"/>
  <c r="E26" i="4" a="1"/>
  <c r="E26" i="4"/>
  <c r="E27" i="4" a="1"/>
  <c r="E27" i="4"/>
  <c r="E28" i="4" a="1"/>
  <c r="E28" i="4"/>
  <c r="E29" i="4" a="1"/>
  <c r="E29" i="4"/>
  <c r="E30" i="4" a="1"/>
  <c r="E30" i="4"/>
  <c r="E31" i="4" a="1"/>
  <c r="E31" i="4"/>
  <c r="E32" i="4" a="1"/>
  <c r="E32" i="4"/>
  <c r="E33" i="4" a="1"/>
  <c r="E33" i="4"/>
  <c r="E34" i="4" a="1"/>
  <c r="E34" i="4"/>
  <c r="E35" i="4" a="1"/>
  <c r="E35" i="4"/>
  <c r="E36" i="4" a="1"/>
  <c r="E36" i="4"/>
  <c r="E37" i="4" a="1"/>
  <c r="E37" i="4"/>
  <c r="E38" i="4" a="1"/>
  <c r="E38" i="4"/>
  <c r="E39" i="4" a="1"/>
  <c r="E39" i="4"/>
  <c r="E40" i="4" a="1"/>
  <c r="E40" i="4"/>
  <c r="E41" i="4" a="1"/>
  <c r="E41" i="4"/>
  <c r="E42" i="4" a="1"/>
  <c r="E42" i="4"/>
  <c r="E43" i="4" a="1"/>
  <c r="E43" i="4"/>
  <c r="E44" i="4" a="1"/>
  <c r="E44" i="4"/>
  <c r="E45" i="4" a="1"/>
  <c r="E45" i="4"/>
  <c r="E46" i="4" a="1"/>
  <c r="E46" i="4"/>
  <c r="E47" i="4" a="1"/>
  <c r="E47" i="4"/>
  <c r="E48" i="4" a="1"/>
  <c r="E48" i="4"/>
  <c r="E49" i="4" a="1"/>
  <c r="E49" i="4"/>
  <c r="E50" i="4" a="1"/>
  <c r="E50" i="4"/>
  <c r="E51" i="4" a="1"/>
  <c r="E51" i="4"/>
  <c r="E52" i="4" a="1"/>
  <c r="E52" i="4"/>
  <c r="E53" i="4" a="1"/>
  <c r="E53" i="4"/>
  <c r="E54" i="4" a="1"/>
  <c r="E54" i="4"/>
  <c r="E55" i="4" a="1"/>
  <c r="E55" i="4"/>
  <c r="E56" i="4" a="1"/>
  <c r="E56" i="4"/>
  <c r="E57" i="4" a="1"/>
  <c r="E57" i="4"/>
  <c r="E58" i="4" a="1"/>
  <c r="E58" i="4"/>
  <c r="E59" i="4" a="1"/>
  <c r="E59" i="4"/>
  <c r="E60" i="4" a="1"/>
  <c r="E60" i="4"/>
  <c r="E61" i="4" a="1"/>
  <c r="E61" i="4"/>
  <c r="E62" i="4" a="1"/>
  <c r="E62" i="4"/>
  <c r="E63" i="4" a="1"/>
  <c r="E63" i="4"/>
  <c r="E64" i="4" a="1"/>
  <c r="E64" i="4"/>
  <c r="E65" i="4" a="1"/>
  <c r="E65" i="4"/>
  <c r="E66" i="4" a="1"/>
  <c r="E66" i="4"/>
  <c r="E67" i="4" a="1"/>
  <c r="E67" i="4"/>
  <c r="E68" i="4" a="1"/>
  <c r="E68" i="4"/>
  <c r="E69" i="4" a="1"/>
  <c r="E69" i="4"/>
  <c r="E70" i="4" a="1"/>
  <c r="E70" i="4"/>
  <c r="E71" i="4" a="1"/>
  <c r="E71" i="4"/>
  <c r="E72" i="4" a="1"/>
  <c r="E72" i="4"/>
  <c r="E73" i="4" a="1"/>
  <c r="E73" i="4"/>
  <c r="E74" i="4" a="1"/>
  <c r="E74" i="4"/>
  <c r="E75" i="4" a="1"/>
  <c r="E75" i="4"/>
  <c r="E76" i="4" a="1"/>
  <c r="E76" i="4"/>
  <c r="E77" i="4" a="1"/>
  <c r="E77" i="4"/>
  <c r="E78" i="4" a="1"/>
  <c r="E78" i="4"/>
  <c r="E79" i="4" a="1"/>
  <c r="E79" i="4"/>
  <c r="E80" i="4" a="1"/>
  <c r="E80" i="4"/>
  <c r="E81" i="4" a="1"/>
  <c r="E81" i="4"/>
  <c r="E82" i="4" a="1"/>
  <c r="E82" i="4"/>
  <c r="E83" i="4" a="1"/>
  <c r="E83" i="4"/>
  <c r="E84" i="4" a="1"/>
  <c r="E84" i="4"/>
  <c r="E85" i="4" a="1"/>
  <c r="E85" i="4"/>
  <c r="E86" i="4" a="1"/>
  <c r="E86" i="4"/>
  <c r="E87" i="4" a="1"/>
  <c r="E87" i="4"/>
  <c r="E88" i="4" a="1"/>
  <c r="E88" i="4"/>
  <c r="E89" i="4" a="1"/>
  <c r="E89" i="4"/>
  <c r="E90" i="4" a="1"/>
  <c r="E90" i="4"/>
  <c r="E91" i="4" a="1"/>
  <c r="E91" i="4"/>
  <c r="E92" i="4" a="1"/>
  <c r="E92" i="4"/>
  <c r="E93" i="4" a="1"/>
  <c r="E93" i="4"/>
  <c r="E94" i="4" a="1"/>
  <c r="E94" i="4"/>
  <c r="E95" i="4" a="1"/>
  <c r="E95" i="4"/>
  <c r="E96" i="4" a="1"/>
  <c r="E96" i="4"/>
  <c r="E97" i="4" a="1"/>
  <c r="E97" i="4"/>
  <c r="E98" i="4" a="1"/>
  <c r="E98" i="4"/>
  <c r="E99" i="4" a="1"/>
  <c r="E99" i="4"/>
  <c r="E100" i="4" a="1"/>
  <c r="E100" i="4"/>
  <c r="E101" i="4" a="1"/>
  <c r="E101" i="4"/>
  <c r="E102" i="4" a="1"/>
  <c r="E102" i="4"/>
  <c r="E103" i="4" a="1"/>
  <c r="E103" i="4"/>
  <c r="E104" i="4" a="1"/>
  <c r="E104" i="4"/>
  <c r="E105" i="4" a="1"/>
  <c r="E105" i="4"/>
  <c r="E106" i="4" a="1"/>
  <c r="E106" i="4"/>
  <c r="E107" i="4" a="1"/>
  <c r="E107" i="4"/>
  <c r="E108" i="4" a="1"/>
  <c r="E108" i="4"/>
  <c r="E109" i="4" a="1"/>
  <c r="E109" i="4"/>
  <c r="E110" i="4" a="1"/>
  <c r="E110" i="4"/>
  <c r="E111" i="4" a="1"/>
  <c r="E111" i="4"/>
  <c r="E112" i="4" a="1"/>
  <c r="E112" i="4"/>
  <c r="E113" i="4" a="1"/>
  <c r="E113" i="4"/>
  <c r="E114" i="4" a="1"/>
  <c r="E114" i="4"/>
  <c r="E115" i="4" a="1"/>
  <c r="E115" i="4"/>
  <c r="E116" i="4" a="1"/>
  <c r="E116" i="4"/>
  <c r="E117" i="4" a="1"/>
  <c r="E117" i="4"/>
  <c r="E118" i="4" a="1"/>
  <c r="E118" i="4"/>
  <c r="E119" i="4" a="1"/>
  <c r="E119" i="4"/>
  <c r="E120" i="4" a="1"/>
  <c r="E120" i="4"/>
  <c r="E121" i="4" a="1"/>
  <c r="E121" i="4"/>
  <c r="E122" i="4" a="1"/>
  <c r="E122" i="4"/>
  <c r="E123" i="4" a="1"/>
  <c r="E123" i="4"/>
  <c r="E124" i="4" a="1"/>
  <c r="E124" i="4"/>
  <c r="E125" i="4" a="1"/>
  <c r="E125" i="4"/>
  <c r="E126" i="4" a="1"/>
  <c r="E126" i="4"/>
  <c r="E127" i="4" a="1"/>
  <c r="E127" i="4"/>
  <c r="E128" i="4" a="1"/>
  <c r="E128" i="4"/>
  <c r="E129" i="4" a="1"/>
  <c r="E129" i="4"/>
  <c r="E130" i="4" a="1"/>
  <c r="E130" i="4"/>
  <c r="E131" i="4" a="1"/>
  <c r="E131" i="4"/>
  <c r="E132" i="4" a="1"/>
  <c r="E132" i="4"/>
  <c r="E133" i="4" a="1"/>
  <c r="E133" i="4"/>
  <c r="E134" i="4" a="1"/>
  <c r="E134" i="4"/>
  <c r="E135" i="4" a="1"/>
  <c r="E135" i="4"/>
  <c r="E136" i="4" a="1"/>
  <c r="E136" i="4"/>
  <c r="E137" i="4" a="1"/>
  <c r="E137" i="4"/>
  <c r="E138" i="4" a="1"/>
  <c r="E138" i="4"/>
  <c r="E139" i="4" a="1"/>
  <c r="E139" i="4"/>
  <c r="E140" i="4" a="1"/>
  <c r="E140" i="4"/>
  <c r="E141" i="4" a="1"/>
  <c r="E141" i="4"/>
  <c r="E142" i="4" a="1"/>
  <c r="E142" i="4"/>
  <c r="E143" i="4" a="1"/>
  <c r="E143" i="4"/>
  <c r="E144" i="4" a="1"/>
  <c r="E144" i="4"/>
  <c r="E145" i="4" a="1"/>
  <c r="E145" i="4"/>
  <c r="E146" i="4" a="1"/>
  <c r="E146" i="4"/>
  <c r="E147" i="4" a="1"/>
  <c r="E147" i="4"/>
  <c r="E148" i="4" a="1"/>
  <c r="E148" i="4"/>
  <c r="E149" i="4" a="1"/>
  <c r="E149" i="4"/>
  <c r="E150" i="4" a="1"/>
  <c r="E150" i="4"/>
  <c r="E151" i="4" a="1"/>
  <c r="E151" i="4"/>
  <c r="E152" i="4" a="1"/>
  <c r="E152" i="4"/>
  <c r="E153" i="4" a="1"/>
  <c r="E153" i="4"/>
  <c r="E154" i="4" a="1"/>
  <c r="E154" i="4"/>
  <c r="E155" i="4" a="1"/>
  <c r="E155" i="4"/>
  <c r="E156" i="4" a="1"/>
  <c r="E156" i="4"/>
  <c r="E157" i="4" a="1"/>
  <c r="E157" i="4"/>
  <c r="E158" i="4" a="1"/>
  <c r="E158" i="4"/>
  <c r="E159" i="4" a="1"/>
  <c r="E159" i="4"/>
  <c r="E160" i="4" a="1"/>
  <c r="E160" i="4"/>
  <c r="E161" i="4" a="1"/>
  <c r="E161" i="4"/>
  <c r="E162" i="4" a="1"/>
  <c r="E162" i="4"/>
  <c r="E163" i="4" a="1"/>
  <c r="E163" i="4"/>
  <c r="E164" i="4" a="1"/>
  <c r="E164" i="4"/>
  <c r="E165" i="4" a="1"/>
  <c r="E165" i="4"/>
  <c r="E166" i="4" a="1"/>
  <c r="E166" i="4"/>
  <c r="E167" i="4" a="1"/>
  <c r="E167" i="4"/>
  <c r="E168" i="4" a="1"/>
  <c r="E168" i="4"/>
  <c r="E169" i="4" a="1"/>
  <c r="E169" i="4"/>
  <c r="E170" i="4" a="1"/>
  <c r="E170" i="4"/>
  <c r="E171" i="4" a="1"/>
  <c r="E171" i="4"/>
  <c r="E172" i="4" a="1"/>
  <c r="E172" i="4"/>
  <c r="E173" i="4" a="1"/>
  <c r="E173" i="4"/>
  <c r="E174" i="4" a="1"/>
  <c r="E174" i="4"/>
  <c r="E175" i="4" a="1"/>
  <c r="E175" i="4"/>
  <c r="E176" i="4" a="1"/>
  <c r="E176" i="4"/>
  <c r="E177" i="4" a="1"/>
  <c r="E177" i="4"/>
  <c r="E178" i="4" a="1"/>
  <c r="E178" i="4"/>
  <c r="E179" i="4" a="1"/>
  <c r="E179" i="4"/>
  <c r="E180" i="4" a="1"/>
  <c r="E180" i="4"/>
  <c r="E181" i="4" a="1"/>
  <c r="E181" i="4"/>
  <c r="E182" i="4" a="1"/>
  <c r="E182" i="4"/>
  <c r="E183" i="4" a="1"/>
  <c r="E183" i="4"/>
  <c r="E184" i="4" a="1"/>
  <c r="E184" i="4"/>
  <c r="E185" i="4" a="1"/>
  <c r="E185" i="4"/>
  <c r="E186" i="4" a="1"/>
  <c r="E186" i="4"/>
  <c r="E187" i="4" a="1"/>
  <c r="E187" i="4"/>
  <c r="E188" i="4" a="1"/>
  <c r="E188" i="4"/>
  <c r="E189" i="4" a="1"/>
  <c r="E189" i="4"/>
  <c r="E190" i="4" a="1"/>
  <c r="E190" i="4"/>
  <c r="E191" i="4" a="1"/>
  <c r="E191" i="4"/>
  <c r="E192" i="4" a="1"/>
  <c r="E192" i="4"/>
  <c r="E193" i="4" a="1"/>
  <c r="E193" i="4"/>
  <c r="E194" i="4" a="1"/>
  <c r="E194" i="4"/>
  <c r="E195" i="4" a="1"/>
  <c r="E195" i="4"/>
  <c r="E3" i="4" a="1"/>
  <c r="E3" i="4"/>
  <c r="D3" i="4" a="1"/>
  <c r="D3" i="4"/>
  <c r="C3" i="4" a="1"/>
  <c r="C3" i="4"/>
  <c r="C4" i="4" a="1"/>
  <c r="C4" i="4"/>
  <c r="C5" i="4" a="1"/>
  <c r="C5" i="4"/>
  <c r="C6" i="4" a="1"/>
  <c r="C6" i="4"/>
  <c r="C7" i="4" a="1"/>
  <c r="C7" i="4"/>
  <c r="C8" i="4" a="1"/>
  <c r="C8" i="4"/>
  <c r="C9" i="4" a="1"/>
  <c r="C9" i="4"/>
  <c r="C10" i="4" a="1"/>
  <c r="C10" i="4"/>
  <c r="C11" i="4" a="1"/>
  <c r="C11" i="4"/>
  <c r="C12" i="4" a="1"/>
  <c r="C12" i="4"/>
  <c r="C13" i="4" a="1"/>
  <c r="C13" i="4"/>
  <c r="C14" i="4" a="1"/>
  <c r="C14" i="4"/>
  <c r="C15" i="4" a="1"/>
  <c r="C15" i="4"/>
  <c r="C16" i="4" a="1"/>
  <c r="C16" i="4"/>
  <c r="C17" i="4" a="1"/>
  <c r="C17" i="4"/>
  <c r="C18" i="4" a="1"/>
  <c r="C18" i="4"/>
  <c r="C19" i="4" a="1"/>
  <c r="C19" i="4"/>
  <c r="C20" i="4" a="1"/>
  <c r="C20" i="4"/>
  <c r="C21" i="4" a="1"/>
  <c r="C21" i="4"/>
  <c r="C22" i="4" a="1"/>
  <c r="C22" i="4"/>
  <c r="C23" i="4" a="1"/>
  <c r="C23" i="4"/>
  <c r="C24" i="4" a="1"/>
  <c r="C24" i="4"/>
  <c r="C25" i="4" a="1"/>
  <c r="C25" i="4"/>
  <c r="C26" i="4" a="1"/>
  <c r="C26" i="4"/>
  <c r="C27" i="4" a="1"/>
  <c r="C27" i="4"/>
  <c r="C28" i="4" a="1"/>
  <c r="C28" i="4"/>
  <c r="C29" i="4" a="1"/>
  <c r="C29" i="4"/>
  <c r="C30" i="4" a="1"/>
  <c r="C30" i="4"/>
  <c r="C31" i="4" a="1"/>
  <c r="C31" i="4"/>
  <c r="C32" i="4" a="1"/>
  <c r="C32" i="4"/>
  <c r="C33" i="4" a="1"/>
  <c r="C33" i="4"/>
  <c r="C34" i="4" a="1"/>
  <c r="C34" i="4"/>
  <c r="C35" i="4" a="1"/>
  <c r="C35" i="4"/>
  <c r="C36" i="4" a="1"/>
  <c r="C36" i="4"/>
  <c r="C37" i="4" a="1"/>
  <c r="C37" i="4"/>
  <c r="C38" i="4" a="1"/>
  <c r="C38" i="4"/>
  <c r="C39" i="4" a="1"/>
  <c r="C39" i="4"/>
  <c r="C40" i="4" a="1"/>
  <c r="C40" i="4"/>
  <c r="C41" i="4" a="1"/>
  <c r="C41" i="4"/>
  <c r="C42" i="4" a="1"/>
  <c r="C42" i="4"/>
  <c r="C43" i="4" a="1"/>
  <c r="C43" i="4"/>
  <c r="C44" i="4" a="1"/>
  <c r="C44" i="4"/>
  <c r="C45" i="4" a="1"/>
  <c r="C45" i="4"/>
  <c r="C46" i="4" a="1"/>
  <c r="C46" i="4"/>
  <c r="C47" i="4" a="1"/>
  <c r="C47" i="4"/>
  <c r="C48" i="4" a="1"/>
  <c r="C48" i="4"/>
  <c r="C49" i="4" a="1"/>
  <c r="C49" i="4"/>
  <c r="C50" i="4" a="1"/>
  <c r="C50" i="4"/>
  <c r="C51" i="4" a="1"/>
  <c r="C51" i="4"/>
  <c r="C52" i="4" a="1"/>
  <c r="C52" i="4"/>
  <c r="C53" i="4" a="1"/>
  <c r="C53" i="4"/>
  <c r="C54" i="4" a="1"/>
  <c r="C54" i="4"/>
  <c r="C55" i="4" a="1"/>
  <c r="C55" i="4"/>
  <c r="C56" i="4" a="1"/>
  <c r="C56" i="4"/>
  <c r="C57" i="4" a="1"/>
  <c r="C57" i="4"/>
  <c r="C58" i="4" a="1"/>
  <c r="C58" i="4"/>
  <c r="C59" i="4" a="1"/>
  <c r="C59" i="4"/>
  <c r="C60" i="4" a="1"/>
  <c r="C60" i="4"/>
  <c r="C61" i="4" a="1"/>
  <c r="C61" i="4"/>
  <c r="C62" i="4" a="1"/>
  <c r="C62" i="4"/>
  <c r="C63" i="4" a="1"/>
  <c r="C63" i="4"/>
  <c r="C64" i="4" a="1"/>
  <c r="C64" i="4"/>
  <c r="C65" i="4" a="1"/>
  <c r="C65" i="4"/>
  <c r="C66" i="4" a="1"/>
  <c r="C66" i="4"/>
  <c r="C67" i="4" a="1"/>
  <c r="C67" i="4"/>
  <c r="C68" i="4" a="1"/>
  <c r="C68" i="4"/>
  <c r="C69" i="4" a="1"/>
  <c r="C69" i="4"/>
  <c r="C70" i="4" a="1"/>
  <c r="C70" i="4"/>
  <c r="C71" i="4" a="1"/>
  <c r="C71" i="4"/>
  <c r="C72" i="4" a="1"/>
  <c r="C72" i="4"/>
  <c r="C73" i="4" a="1"/>
  <c r="C73" i="4"/>
  <c r="C74" i="4" a="1"/>
  <c r="C74" i="4"/>
  <c r="C75" i="4" a="1"/>
  <c r="C75" i="4"/>
  <c r="C76" i="4" a="1"/>
  <c r="C76" i="4"/>
  <c r="C77" i="4" a="1"/>
  <c r="C77" i="4"/>
  <c r="C78" i="4" a="1"/>
  <c r="C78" i="4"/>
  <c r="C79" i="4" a="1"/>
  <c r="C79" i="4"/>
  <c r="C80" i="4" a="1"/>
  <c r="C80" i="4"/>
  <c r="C81" i="4" a="1"/>
  <c r="C81" i="4"/>
  <c r="C82" i="4" a="1"/>
  <c r="C82" i="4"/>
  <c r="C83" i="4" a="1"/>
  <c r="C83" i="4"/>
  <c r="C84" i="4" a="1"/>
  <c r="C84" i="4"/>
  <c r="C85" i="4" a="1"/>
  <c r="C85" i="4"/>
  <c r="C86" i="4" a="1"/>
  <c r="C86" i="4"/>
  <c r="C87" i="4" a="1"/>
  <c r="C87" i="4"/>
  <c r="C88" i="4" a="1"/>
  <c r="C88" i="4"/>
  <c r="C89" i="4" a="1"/>
  <c r="C89" i="4"/>
  <c r="C90" i="4" a="1"/>
  <c r="C90" i="4"/>
  <c r="C91" i="4" a="1"/>
  <c r="C91" i="4"/>
  <c r="C92" i="4" a="1"/>
  <c r="C92" i="4"/>
  <c r="C93" i="4" a="1"/>
  <c r="C93" i="4"/>
  <c r="C94" i="4" a="1"/>
  <c r="C94" i="4"/>
  <c r="C95" i="4" a="1"/>
  <c r="C95" i="4"/>
  <c r="C96" i="4" a="1"/>
  <c r="C96" i="4"/>
  <c r="C97" i="4" a="1"/>
  <c r="C97" i="4"/>
  <c r="C98" i="4" a="1"/>
  <c r="C98" i="4"/>
  <c r="C99" i="4" a="1"/>
  <c r="C99" i="4"/>
  <c r="C100" i="4" a="1"/>
  <c r="C100" i="4"/>
  <c r="C101" i="4" a="1"/>
  <c r="C101" i="4"/>
  <c r="C102" i="4" a="1"/>
  <c r="C102" i="4"/>
  <c r="C103" i="4" a="1"/>
  <c r="C103" i="4"/>
  <c r="C104" i="4" a="1"/>
  <c r="C104" i="4"/>
  <c r="C105" i="4" a="1"/>
  <c r="C105" i="4"/>
  <c r="C106" i="4" a="1"/>
  <c r="C106" i="4"/>
  <c r="C107" i="4" a="1"/>
  <c r="C107" i="4"/>
  <c r="C108" i="4" a="1"/>
  <c r="C108" i="4"/>
  <c r="C109" i="4" a="1"/>
  <c r="C109" i="4"/>
  <c r="C110" i="4" a="1"/>
  <c r="C110" i="4"/>
  <c r="C111" i="4" a="1"/>
  <c r="C111" i="4"/>
  <c r="C112" i="4" a="1"/>
  <c r="C112" i="4"/>
  <c r="C113" i="4" a="1"/>
  <c r="C113" i="4"/>
  <c r="C114" i="4" a="1"/>
  <c r="C114" i="4"/>
  <c r="C115" i="4" a="1"/>
  <c r="C115" i="4"/>
  <c r="C116" i="4" a="1"/>
  <c r="C116" i="4"/>
  <c r="C117" i="4" a="1"/>
  <c r="C117" i="4"/>
  <c r="C118" i="4" a="1"/>
  <c r="C118" i="4"/>
  <c r="C119" i="4" a="1"/>
  <c r="C119" i="4"/>
  <c r="C120" i="4" a="1"/>
  <c r="C120" i="4"/>
  <c r="C121" i="4" a="1"/>
  <c r="C121" i="4"/>
  <c r="C122" i="4" a="1"/>
  <c r="C122" i="4"/>
  <c r="C123" i="4" a="1"/>
  <c r="C123" i="4"/>
  <c r="C124" i="4" a="1"/>
  <c r="C124" i="4"/>
  <c r="C125" i="4" a="1"/>
  <c r="C125" i="4"/>
  <c r="C126" i="4" a="1"/>
  <c r="C126" i="4"/>
  <c r="C127" i="4" a="1"/>
  <c r="C127" i="4"/>
  <c r="C128" i="4" a="1"/>
  <c r="C128" i="4"/>
  <c r="C129" i="4" a="1"/>
  <c r="C129" i="4"/>
  <c r="C130" i="4" a="1"/>
  <c r="C130" i="4"/>
  <c r="C131" i="4" a="1"/>
  <c r="C131" i="4"/>
  <c r="C132" i="4" a="1"/>
  <c r="C132" i="4"/>
  <c r="C133" i="4" a="1"/>
  <c r="C133" i="4"/>
  <c r="C134" i="4" a="1"/>
  <c r="C134" i="4"/>
  <c r="C135" i="4" a="1"/>
  <c r="C135" i="4"/>
  <c r="C136" i="4" a="1"/>
  <c r="C136" i="4"/>
  <c r="C137" i="4" a="1"/>
  <c r="C137" i="4"/>
  <c r="C138" i="4" a="1"/>
  <c r="C138" i="4"/>
  <c r="C139" i="4" a="1"/>
  <c r="C139" i="4"/>
  <c r="C140" i="4" a="1"/>
  <c r="C140" i="4"/>
  <c r="C141" i="4" a="1"/>
  <c r="C141" i="4"/>
  <c r="C142" i="4" a="1"/>
  <c r="C142" i="4"/>
  <c r="C143" i="4" a="1"/>
  <c r="C143" i="4"/>
  <c r="C144" i="4" a="1"/>
  <c r="C144" i="4"/>
  <c r="C145" i="4" a="1"/>
  <c r="C145" i="4"/>
  <c r="C146" i="4" a="1"/>
  <c r="C146" i="4"/>
  <c r="C147" i="4" a="1"/>
  <c r="C147" i="4"/>
  <c r="C148" i="4" a="1"/>
  <c r="C148" i="4"/>
  <c r="C149" i="4" a="1"/>
  <c r="C149" i="4"/>
  <c r="C150" i="4" a="1"/>
  <c r="C150" i="4"/>
  <c r="C151" i="4" a="1"/>
  <c r="C151" i="4"/>
  <c r="C152" i="4" a="1"/>
  <c r="C152" i="4"/>
  <c r="C153" i="4" a="1"/>
  <c r="C153" i="4"/>
  <c r="C154" i="4" a="1"/>
  <c r="C154" i="4"/>
  <c r="C155" i="4" a="1"/>
  <c r="C155" i="4"/>
  <c r="C156" i="4" a="1"/>
  <c r="C156" i="4"/>
  <c r="C157" i="4" a="1"/>
  <c r="C157" i="4"/>
  <c r="C158" i="4" a="1"/>
  <c r="C158" i="4"/>
  <c r="C159" i="4" a="1"/>
  <c r="C159" i="4"/>
  <c r="C160" i="4" a="1"/>
  <c r="C160" i="4"/>
  <c r="C161" i="4" a="1"/>
  <c r="C161" i="4"/>
  <c r="C162" i="4" a="1"/>
  <c r="C162" i="4"/>
  <c r="C163" i="4" a="1"/>
  <c r="C163" i="4"/>
  <c r="C164" i="4" a="1"/>
  <c r="C164" i="4"/>
  <c r="C165" i="4" a="1"/>
  <c r="C165" i="4"/>
  <c r="C166" i="4" a="1"/>
  <c r="C166" i="4"/>
  <c r="C167" i="4" a="1"/>
  <c r="C167" i="4"/>
  <c r="C168" i="4" a="1"/>
  <c r="C168" i="4"/>
  <c r="C169" i="4" a="1"/>
  <c r="C169" i="4"/>
  <c r="C170" i="4" a="1"/>
  <c r="C170" i="4"/>
  <c r="C171" i="4" a="1"/>
  <c r="C171" i="4"/>
  <c r="C172" i="4" a="1"/>
  <c r="C172" i="4"/>
  <c r="C173" i="4" a="1"/>
  <c r="C173" i="4"/>
  <c r="C174" i="4" a="1"/>
  <c r="C174" i="4"/>
  <c r="C175" i="4" a="1"/>
  <c r="C175" i="4"/>
  <c r="C176" i="4" a="1"/>
  <c r="C176" i="4"/>
  <c r="C177" i="4" a="1"/>
  <c r="C177" i="4"/>
  <c r="C178" i="4" a="1"/>
  <c r="C178" i="4"/>
  <c r="C179" i="4" a="1"/>
  <c r="C179" i="4"/>
  <c r="C180" i="4" a="1"/>
  <c r="C180" i="4"/>
  <c r="C181" i="4" a="1"/>
  <c r="C181" i="4"/>
  <c r="C182" i="4" a="1"/>
  <c r="C182" i="4"/>
  <c r="C183" i="4" a="1"/>
  <c r="C183" i="4"/>
  <c r="C184" i="4" a="1"/>
  <c r="C184" i="4"/>
  <c r="C185" i="4" a="1"/>
  <c r="C185" i="4"/>
  <c r="C186" i="4" a="1"/>
  <c r="C186" i="4"/>
  <c r="C187" i="4" a="1"/>
  <c r="C187" i="4"/>
  <c r="C188" i="4" a="1"/>
  <c r="C188" i="4"/>
  <c r="C189" i="4" a="1"/>
  <c r="C189" i="4"/>
  <c r="C190" i="4" a="1"/>
  <c r="C190" i="4"/>
  <c r="C191" i="4" a="1"/>
  <c r="C191" i="4"/>
  <c r="C192" i="4" a="1"/>
  <c r="C192" i="4"/>
  <c r="C193" i="4" a="1"/>
  <c r="C193" i="4"/>
  <c r="C194" i="4" a="1"/>
  <c r="C194" i="4"/>
  <c r="C195" i="4" a="1"/>
  <c r="C195" i="4"/>
  <c r="D4" i="4" a="1"/>
  <c r="D4" i="4"/>
  <c r="D5" i="4" a="1"/>
  <c r="D5" i="4"/>
  <c r="D6" i="4" a="1"/>
  <c r="D6" i="4"/>
  <c r="D7" i="4" a="1"/>
  <c r="D7" i="4"/>
  <c r="D8" i="4" a="1"/>
  <c r="D8" i="4"/>
  <c r="D9" i="4" a="1"/>
  <c r="D9" i="4"/>
  <c r="D10" i="4" a="1"/>
  <c r="D10" i="4"/>
  <c r="D11" i="4" a="1"/>
  <c r="D11" i="4"/>
  <c r="D12" i="4" a="1"/>
  <c r="D12" i="4"/>
  <c r="D13" i="4" a="1"/>
  <c r="D13" i="4"/>
  <c r="D14" i="4" a="1"/>
  <c r="D14" i="4"/>
  <c r="D15" i="4" a="1"/>
  <c r="D15" i="4"/>
  <c r="D16" i="4" a="1"/>
  <c r="D16" i="4"/>
  <c r="D17" i="4" a="1"/>
  <c r="D17" i="4"/>
  <c r="D18" i="4" a="1"/>
  <c r="D18" i="4"/>
  <c r="D19" i="4" a="1"/>
  <c r="D19" i="4"/>
  <c r="D20" i="4" a="1"/>
  <c r="D20" i="4"/>
  <c r="D21" i="4" a="1"/>
  <c r="D21" i="4"/>
  <c r="D22" i="4" a="1"/>
  <c r="D22" i="4"/>
  <c r="D23" i="4" a="1"/>
  <c r="D23" i="4"/>
  <c r="D24" i="4" a="1"/>
  <c r="D24" i="4"/>
  <c r="D25" i="4" a="1"/>
  <c r="D25" i="4"/>
  <c r="D26" i="4" a="1"/>
  <c r="D26" i="4"/>
  <c r="D27" i="4" a="1"/>
  <c r="D27" i="4"/>
  <c r="D28" i="4" a="1"/>
  <c r="D28" i="4"/>
  <c r="D29" i="4" a="1"/>
  <c r="D29" i="4"/>
  <c r="D30" i="4" a="1"/>
  <c r="D30" i="4"/>
  <c r="D31" i="4" a="1"/>
  <c r="D31" i="4"/>
  <c r="D32" i="4" a="1"/>
  <c r="D32" i="4"/>
  <c r="D33" i="4" a="1"/>
  <c r="D33" i="4"/>
  <c r="D34" i="4" a="1"/>
  <c r="D34" i="4"/>
  <c r="D35" i="4" a="1"/>
  <c r="D35" i="4"/>
  <c r="D36" i="4" a="1"/>
  <c r="D36" i="4"/>
  <c r="D37" i="4" a="1"/>
  <c r="D37" i="4"/>
  <c r="D38" i="4" a="1"/>
  <c r="D38" i="4"/>
  <c r="D39" i="4" a="1"/>
  <c r="D39" i="4"/>
  <c r="D40" i="4" a="1"/>
  <c r="D40" i="4"/>
  <c r="D41" i="4" a="1"/>
  <c r="D41" i="4"/>
  <c r="D42" i="4" a="1"/>
  <c r="D42" i="4"/>
  <c r="D43" i="4" a="1"/>
  <c r="D43" i="4"/>
  <c r="D44" i="4" a="1"/>
  <c r="D44" i="4"/>
  <c r="D45" i="4" a="1"/>
  <c r="D45" i="4"/>
  <c r="D46" i="4" a="1"/>
  <c r="D46" i="4"/>
  <c r="D47" i="4" a="1"/>
  <c r="D47" i="4"/>
  <c r="D48" i="4" a="1"/>
  <c r="D48" i="4"/>
  <c r="D49" i="4" a="1"/>
  <c r="D49" i="4"/>
  <c r="D50" i="4" a="1"/>
  <c r="D50" i="4"/>
  <c r="D51" i="4" a="1"/>
  <c r="D51" i="4"/>
  <c r="D52" i="4" a="1"/>
  <c r="D52" i="4"/>
  <c r="D53" i="4" a="1"/>
  <c r="D53" i="4"/>
  <c r="D54" i="4" a="1"/>
  <c r="D54" i="4"/>
  <c r="D55" i="4" a="1"/>
  <c r="D55" i="4"/>
  <c r="D56" i="4" a="1"/>
  <c r="D56" i="4"/>
  <c r="D57" i="4" a="1"/>
  <c r="D57" i="4"/>
  <c r="D58" i="4" a="1"/>
  <c r="D58" i="4"/>
  <c r="D59" i="4" a="1"/>
  <c r="D59" i="4"/>
  <c r="D60" i="4" a="1"/>
  <c r="D60" i="4"/>
  <c r="D61" i="4" a="1"/>
  <c r="D61" i="4"/>
  <c r="D62" i="4" a="1"/>
  <c r="D62" i="4"/>
  <c r="D63" i="4" a="1"/>
  <c r="D63" i="4"/>
  <c r="D64" i="4" a="1"/>
  <c r="D64" i="4"/>
  <c r="D65" i="4" a="1"/>
  <c r="D65" i="4"/>
  <c r="D66" i="4" a="1"/>
  <c r="D66" i="4"/>
  <c r="D67" i="4" a="1"/>
  <c r="D67" i="4"/>
  <c r="D68" i="4" a="1"/>
  <c r="D68" i="4"/>
  <c r="D69" i="4" a="1"/>
  <c r="D69" i="4"/>
  <c r="D70" i="4" a="1"/>
  <c r="D70" i="4"/>
  <c r="D71" i="4" a="1"/>
  <c r="D71" i="4"/>
  <c r="D72" i="4" a="1"/>
  <c r="D72" i="4"/>
  <c r="D73" i="4" a="1"/>
  <c r="D73" i="4"/>
  <c r="D74" i="4" a="1"/>
  <c r="D74" i="4"/>
  <c r="D75" i="4" a="1"/>
  <c r="D75" i="4"/>
  <c r="D76" i="4" a="1"/>
  <c r="D76" i="4"/>
  <c r="D77" i="4" a="1"/>
  <c r="D77" i="4"/>
  <c r="D78" i="4" a="1"/>
  <c r="D78" i="4"/>
  <c r="D79" i="4" a="1"/>
  <c r="D79" i="4"/>
  <c r="D80" i="4" a="1"/>
  <c r="D80" i="4"/>
  <c r="D81" i="4" a="1"/>
  <c r="D81" i="4"/>
  <c r="D82" i="4" a="1"/>
  <c r="D82" i="4"/>
  <c r="D83" i="4" a="1"/>
  <c r="D83" i="4"/>
  <c r="D84" i="4" a="1"/>
  <c r="D84" i="4"/>
  <c r="D85" i="4" a="1"/>
  <c r="D85" i="4"/>
  <c r="D86" i="4" a="1"/>
  <c r="D86" i="4"/>
  <c r="D87" i="4" a="1"/>
  <c r="D87" i="4"/>
  <c r="D88" i="4" a="1"/>
  <c r="D88" i="4"/>
  <c r="D89" i="4" a="1"/>
  <c r="D89" i="4"/>
  <c r="D90" i="4" a="1"/>
  <c r="D90" i="4"/>
  <c r="D91" i="4" a="1"/>
  <c r="D91" i="4"/>
  <c r="D92" i="4" a="1"/>
  <c r="D92" i="4"/>
  <c r="D93" i="4" a="1"/>
  <c r="D93" i="4"/>
  <c r="D94" i="4" a="1"/>
  <c r="D94" i="4"/>
  <c r="D95" i="4" a="1"/>
  <c r="D95" i="4"/>
  <c r="D96" i="4" a="1"/>
  <c r="D96" i="4"/>
  <c r="D97" i="4" a="1"/>
  <c r="D97" i="4"/>
  <c r="D98" i="4" a="1"/>
  <c r="D98" i="4"/>
  <c r="D99" i="4" a="1"/>
  <c r="D99" i="4"/>
  <c r="D100" i="4" a="1"/>
  <c r="D100" i="4"/>
  <c r="D101" i="4" a="1"/>
  <c r="D101" i="4"/>
  <c r="D102" i="4" a="1"/>
  <c r="D102" i="4"/>
  <c r="D103" i="4" a="1"/>
  <c r="D103" i="4"/>
  <c r="D104" i="4" a="1"/>
  <c r="D104" i="4"/>
  <c r="D105" i="4" a="1"/>
  <c r="D105" i="4"/>
  <c r="D106" i="4" a="1"/>
  <c r="D106" i="4"/>
  <c r="D107" i="4" a="1"/>
  <c r="D107" i="4"/>
  <c r="D108" i="4" a="1"/>
  <c r="D108" i="4"/>
  <c r="D109" i="4" a="1"/>
  <c r="D109" i="4"/>
  <c r="D110" i="4" a="1"/>
  <c r="D110" i="4"/>
  <c r="D111" i="4" a="1"/>
  <c r="D111" i="4"/>
  <c r="D112" i="4" a="1"/>
  <c r="D112" i="4"/>
  <c r="D113" i="4" a="1"/>
  <c r="D113" i="4"/>
  <c r="D114" i="4" a="1"/>
  <c r="D114" i="4"/>
  <c r="D115" i="4" a="1"/>
  <c r="D115" i="4"/>
  <c r="D116" i="4" a="1"/>
  <c r="D116" i="4"/>
  <c r="D117" i="4" a="1"/>
  <c r="D117" i="4"/>
  <c r="D118" i="4" a="1"/>
  <c r="D118" i="4"/>
  <c r="D119" i="4" a="1"/>
  <c r="D119" i="4"/>
  <c r="D120" i="4" a="1"/>
  <c r="D120" i="4"/>
  <c r="D121" i="4" a="1"/>
  <c r="D121" i="4"/>
  <c r="D122" i="4" a="1"/>
  <c r="D122" i="4"/>
  <c r="D123" i="4" a="1"/>
  <c r="D123" i="4"/>
  <c r="D124" i="4" a="1"/>
  <c r="D124" i="4"/>
  <c r="D125" i="4" a="1"/>
  <c r="D125" i="4"/>
  <c r="D126" i="4" a="1"/>
  <c r="D126" i="4"/>
  <c r="D127" i="4" a="1"/>
  <c r="D127" i="4"/>
  <c r="D128" i="4" a="1"/>
  <c r="D128" i="4"/>
  <c r="D129" i="4" a="1"/>
  <c r="D129" i="4"/>
  <c r="D130" i="4" a="1"/>
  <c r="D130" i="4"/>
  <c r="D131" i="4" a="1"/>
  <c r="D131" i="4"/>
  <c r="D132" i="4" a="1"/>
  <c r="D132" i="4"/>
  <c r="D133" i="4" a="1"/>
  <c r="D133" i="4"/>
  <c r="D134" i="4" a="1"/>
  <c r="D134" i="4"/>
  <c r="D135" i="4" a="1"/>
  <c r="D135" i="4"/>
  <c r="D136" i="4" a="1"/>
  <c r="D136" i="4"/>
  <c r="D137" i="4" a="1"/>
  <c r="D137" i="4"/>
  <c r="D138" i="4" a="1"/>
  <c r="D138" i="4"/>
  <c r="D139" i="4" a="1"/>
  <c r="D139" i="4"/>
  <c r="D140" i="4" a="1"/>
  <c r="D140" i="4"/>
  <c r="D141" i="4" a="1"/>
  <c r="D141" i="4"/>
  <c r="D142" i="4" a="1"/>
  <c r="D142" i="4"/>
  <c r="D143" i="4" a="1"/>
  <c r="D143" i="4"/>
  <c r="D144" i="4" a="1"/>
  <c r="D144" i="4"/>
  <c r="D145" i="4" a="1"/>
  <c r="D145" i="4"/>
  <c r="D146" i="4" a="1"/>
  <c r="D146" i="4"/>
  <c r="D147" i="4" a="1"/>
  <c r="D147" i="4"/>
  <c r="D148" i="4" a="1"/>
  <c r="D148" i="4"/>
  <c r="D149" i="4" a="1"/>
  <c r="D149" i="4"/>
  <c r="D150" i="4" a="1"/>
  <c r="D150" i="4"/>
  <c r="D151" i="4" a="1"/>
  <c r="D151" i="4"/>
  <c r="D152" i="4" a="1"/>
  <c r="D152" i="4"/>
  <c r="D153" i="4" a="1"/>
  <c r="D153" i="4"/>
  <c r="D154" i="4" a="1"/>
  <c r="D154" i="4"/>
  <c r="D155" i="4" a="1"/>
  <c r="D155" i="4"/>
  <c r="D156" i="4" a="1"/>
  <c r="D156" i="4"/>
  <c r="D157" i="4" a="1"/>
  <c r="D157" i="4"/>
  <c r="D158" i="4" a="1"/>
  <c r="D158" i="4"/>
  <c r="D159" i="4" a="1"/>
  <c r="D159" i="4"/>
  <c r="D160" i="4" a="1"/>
  <c r="D160" i="4"/>
  <c r="D161" i="4" a="1"/>
  <c r="D161" i="4"/>
  <c r="D162" i="4" a="1"/>
  <c r="D162" i="4"/>
  <c r="D163" i="4" a="1"/>
  <c r="D163" i="4"/>
  <c r="D164" i="4" a="1"/>
  <c r="D164" i="4"/>
  <c r="D165" i="4" a="1"/>
  <c r="D165" i="4"/>
  <c r="D166" i="4" a="1"/>
  <c r="D166" i="4"/>
  <c r="D167" i="4" a="1"/>
  <c r="D167" i="4"/>
  <c r="D168" i="4" a="1"/>
  <c r="D168" i="4"/>
  <c r="D169" i="4" a="1"/>
  <c r="D169" i="4"/>
  <c r="D170" i="4" a="1"/>
  <c r="D170" i="4"/>
  <c r="D171" i="4" a="1"/>
  <c r="D171" i="4"/>
  <c r="D172" i="4" a="1"/>
  <c r="D172" i="4"/>
  <c r="D173" i="4" a="1"/>
  <c r="D173" i="4"/>
  <c r="D174" i="4" a="1"/>
  <c r="D174" i="4"/>
  <c r="D175" i="4" a="1"/>
  <c r="D175" i="4"/>
  <c r="D176" i="4" a="1"/>
  <c r="D176" i="4"/>
  <c r="D177" i="4" a="1"/>
  <c r="D177" i="4"/>
  <c r="D178" i="4" a="1"/>
  <c r="D178" i="4"/>
  <c r="D179" i="4" a="1"/>
  <c r="D179" i="4"/>
  <c r="D180" i="4" a="1"/>
  <c r="D180" i="4"/>
  <c r="D181" i="4" a="1"/>
  <c r="D181" i="4"/>
  <c r="D182" i="4" a="1"/>
  <c r="D182" i="4"/>
  <c r="D183" i="4" a="1"/>
  <c r="D183" i="4"/>
  <c r="D184" i="4" a="1"/>
  <c r="D184" i="4"/>
  <c r="D185" i="4" a="1"/>
  <c r="D185" i="4"/>
  <c r="D186" i="4" a="1"/>
  <c r="D186" i="4"/>
  <c r="D187" i="4" a="1"/>
  <c r="D187" i="4"/>
  <c r="D188" i="4" a="1"/>
  <c r="D188" i="4"/>
  <c r="D189" i="4" a="1"/>
  <c r="D189" i="4"/>
  <c r="D190" i="4" a="1"/>
  <c r="D190" i="4"/>
  <c r="D191" i="4" a="1"/>
  <c r="D191" i="4"/>
  <c r="D192" i="4" a="1"/>
  <c r="D192" i="4"/>
  <c r="D193" i="4" a="1"/>
  <c r="D193" i="4"/>
  <c r="D194" i="4" a="1"/>
  <c r="D194" i="4"/>
  <c r="D195" i="4" a="1"/>
  <c r="D19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<sst xmlns="http://schemas.openxmlformats.org/spreadsheetml/2006/main" count="58" uniqueCount="54">
  <si>
    <t>NOTE</t>
  </si>
  <si>
    <t>FRED doesn’t reliably have those PMI series due to licensing</t>
  </si>
  <si>
    <t>YoY = cycle trend (stable). 1M = early signal but noisy. 3M = good balance. Z-score = standardize across series / build a composite.</t>
  </si>
  <si>
    <t>Variable</t>
  </si>
  <si>
    <t xml:space="preserve">Why it leads sector rotation </t>
  </si>
  <si>
    <t>Momentum measure</t>
  </si>
  <si>
    <t>Industrial Production (INDPRO)</t>
  </si>
  <si>
    <r>
      <t xml:space="preserve">INDPRO is hard data on real output and usually moves with the business cycle. When momentum improves, markets often rotate toward </t>
    </r>
    <r>
      <rPr>
        <b/>
        <sz val="11"/>
        <color theme="1"/>
        <rFont val="Calibri"/>
        <family val="2"/>
        <scheme val="minor"/>
      </rPr>
      <t>cyclicals</t>
    </r>
    <r>
      <rPr>
        <sz val="11"/>
        <color theme="1"/>
        <rFont val="Calibri"/>
        <family val="2"/>
        <scheme val="minor"/>
      </rPr>
      <t xml:space="preserve"> (Industrials/Materials) as demand and earnings expectations rise. When momentum weakens, rotation often shifts toward </t>
    </r>
    <r>
      <rPr>
        <b/>
        <sz val="11"/>
        <color theme="1"/>
        <rFont val="Calibri"/>
        <family val="2"/>
        <scheme val="minor"/>
      </rPr>
      <t>defensives/quality</t>
    </r>
    <r>
      <rPr>
        <sz val="11"/>
        <color theme="1"/>
        <rFont val="Calibri"/>
        <family val="2"/>
        <scheme val="minor"/>
      </rPr>
      <t>.</t>
    </r>
  </si>
  <si>
    <r>
      <t>YoY (primary)</t>
    </r>
    <r>
      <rPr>
        <sz val="11"/>
        <color theme="1"/>
        <rFont val="Calibri"/>
        <family val="2"/>
        <scheme val="minor"/>
      </rPr>
      <t xml:space="preserve"> for cycle trend; </t>
    </r>
    <r>
      <rPr>
        <b/>
        <sz val="11"/>
        <color theme="1"/>
        <rFont val="Calibri"/>
        <family val="2"/>
        <scheme val="minor"/>
      </rPr>
      <t>3M</t>
    </r>
    <r>
      <rPr>
        <sz val="11"/>
        <color theme="1"/>
        <rFont val="Calibri"/>
        <family val="2"/>
        <scheme val="minor"/>
      </rPr>
      <t xml:space="preserve"> for turning points; </t>
    </r>
    <r>
      <rPr>
        <b/>
        <sz val="11"/>
        <color theme="1"/>
        <rFont val="Calibri"/>
        <family val="2"/>
        <scheme val="minor"/>
      </rPr>
      <t>1M</t>
    </r>
    <r>
      <rPr>
        <sz val="11"/>
        <color theme="1"/>
        <rFont val="Calibri"/>
        <family val="2"/>
        <scheme val="minor"/>
      </rPr>
      <t xml:space="preserve"> as an early check (noisy); </t>
    </r>
    <r>
      <rPr>
        <b/>
        <sz val="11"/>
        <color theme="1"/>
        <rFont val="Calibri"/>
        <family val="2"/>
        <scheme val="minor"/>
      </rPr>
      <t>Z-score</t>
    </r>
    <r>
      <rPr>
        <sz val="11"/>
        <color theme="1"/>
        <rFont val="Calibri"/>
        <family val="2"/>
        <scheme val="minor"/>
      </rPr>
      <t xml:space="preserve"> to standardize / compare over time.</t>
    </r>
  </si>
  <si>
    <t>Retail Sales (RSAFS – nominal)</t>
  </si>
  <si>
    <r>
      <t xml:space="preserve">Retail Sales is a direct read on consumer spending. Stronger momentum often supports </t>
    </r>
    <r>
      <rPr>
        <b/>
        <sz val="11"/>
        <color theme="1"/>
        <rFont val="Calibri"/>
        <family val="2"/>
        <scheme val="minor"/>
      </rPr>
      <t>risk-on</t>
    </r>
    <r>
      <rPr>
        <sz val="11"/>
        <color theme="1"/>
        <rFont val="Calibri"/>
        <family val="2"/>
        <scheme val="minor"/>
      </rPr>
      <t xml:space="preserve"> and consumer-sensitive sectors (e.g., Consumer Discretionary), while weakening momentum can push rotation toward </t>
    </r>
    <r>
      <rPr>
        <b/>
        <sz val="11"/>
        <color theme="1"/>
        <rFont val="Calibri"/>
        <family val="2"/>
        <scheme val="minor"/>
      </rPr>
      <t>Staples/defensives</t>
    </r>
    <r>
      <rPr>
        <sz val="11"/>
        <color theme="1"/>
        <rFont val="Calibri"/>
        <family val="2"/>
        <scheme val="minor"/>
      </rPr>
      <t>. This series is nominal, so it can reflect both demand and price effects.</t>
    </r>
  </si>
  <si>
    <r>
      <t>YoY (primary)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3M</t>
    </r>
    <r>
      <rPr>
        <sz val="11"/>
        <color theme="1"/>
        <rFont val="Calibri"/>
        <family val="2"/>
        <scheme val="minor"/>
      </rPr>
      <t xml:space="preserve"> for near-term momentum; </t>
    </r>
    <r>
      <rPr>
        <b/>
        <sz val="11"/>
        <color theme="1"/>
        <rFont val="Calibri"/>
        <family val="2"/>
        <scheme val="minor"/>
      </rPr>
      <t>1M</t>
    </r>
    <r>
      <rPr>
        <sz val="11"/>
        <color theme="1"/>
        <rFont val="Calibri"/>
        <family val="2"/>
        <scheme val="minor"/>
      </rPr>
      <t xml:space="preserve"> as an early check; </t>
    </r>
    <r>
      <rPr>
        <b/>
        <sz val="11"/>
        <color theme="1"/>
        <rFont val="Calibri"/>
        <family val="2"/>
        <scheme val="minor"/>
      </rPr>
      <t>Z-score</t>
    </r>
    <r>
      <rPr>
        <sz val="11"/>
        <color theme="1"/>
        <rFont val="Calibri"/>
        <family val="2"/>
        <scheme val="minor"/>
      </rPr>
      <t xml:space="preserve"> for standardization.</t>
    </r>
  </si>
  <si>
    <t>Nonfarm Payrolls (PAYEMS)</t>
  </si>
  <si>
    <r>
      <t xml:space="preserve">Payrolls reflect labor market strength, which drives income and consumption. Strong payroll momentum often supports </t>
    </r>
    <r>
      <rPr>
        <b/>
        <sz val="11"/>
        <color theme="1"/>
        <rFont val="Calibri"/>
        <family val="2"/>
        <scheme val="minor"/>
      </rPr>
      <t>cyclicals</t>
    </r>
    <r>
      <rPr>
        <sz val="11"/>
        <color theme="1"/>
        <rFont val="Calibri"/>
        <family val="2"/>
        <scheme val="minor"/>
      </rPr>
      <t xml:space="preserve"> and broader earnings breadth; cooling payroll momentum can lead to a tilt toward </t>
    </r>
    <r>
      <rPr>
        <b/>
        <sz val="11"/>
        <color theme="1"/>
        <rFont val="Calibri"/>
        <family val="2"/>
        <scheme val="minor"/>
      </rPr>
      <t>defensives/quality</t>
    </r>
    <r>
      <rPr>
        <sz val="11"/>
        <color theme="1"/>
        <rFont val="Calibri"/>
        <family val="2"/>
        <scheme val="minor"/>
      </rPr>
      <t>. Since it’s a level series, growth rates are the best way to read momentum.</t>
    </r>
  </si>
  <si>
    <r>
      <t>YoY (primary)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3M</t>
    </r>
    <r>
      <rPr>
        <sz val="11"/>
        <color theme="1"/>
        <rFont val="Calibri"/>
        <family val="2"/>
        <scheme val="minor"/>
      </rPr>
      <t xml:space="preserve"> for turning points; </t>
    </r>
    <r>
      <rPr>
        <b/>
        <sz val="11"/>
        <color theme="1"/>
        <rFont val="Calibri"/>
        <family val="2"/>
        <scheme val="minor"/>
      </rPr>
      <t>1M</t>
    </r>
    <r>
      <rPr>
        <sz val="11"/>
        <color theme="1"/>
        <rFont val="Calibri"/>
        <family val="2"/>
        <scheme val="minor"/>
      </rPr>
      <t xml:space="preserve"> as a quick signal (confirm with 3M/YoY); </t>
    </r>
    <r>
      <rPr>
        <b/>
        <sz val="11"/>
        <color theme="1"/>
        <rFont val="Calibri"/>
        <family val="2"/>
        <scheme val="minor"/>
      </rPr>
      <t>Z-score</t>
    </r>
    <r>
      <rPr>
        <sz val="11"/>
        <color theme="1"/>
        <rFont val="Calibri"/>
        <family val="2"/>
        <scheme val="minor"/>
      </rPr>
      <t xml:space="preserve"> to standardize.</t>
    </r>
  </si>
  <si>
    <t>Real PCE (PCEC96)</t>
  </si>
  <si>
    <r>
      <t xml:space="preserve">Real PCE is inflation-adjusted consumption, so it captures </t>
    </r>
    <r>
      <rPr>
        <b/>
        <sz val="11"/>
        <color theme="1"/>
        <rFont val="Calibri"/>
        <family val="2"/>
        <scheme val="minor"/>
      </rPr>
      <t>real demand</t>
    </r>
    <r>
      <rPr>
        <sz val="11"/>
        <color theme="1"/>
        <rFont val="Calibri"/>
        <family val="2"/>
        <scheme val="minor"/>
      </rPr>
      <t xml:space="preserve"> better than nominal retail sales. Rising real consumption momentum tends to support </t>
    </r>
    <r>
      <rPr>
        <b/>
        <sz val="11"/>
        <color theme="1"/>
        <rFont val="Calibri"/>
        <family val="2"/>
        <scheme val="minor"/>
      </rPr>
      <t>risk-on</t>
    </r>
    <r>
      <rPr>
        <sz val="11"/>
        <color theme="1"/>
        <rFont val="Calibri"/>
        <family val="2"/>
        <scheme val="minor"/>
      </rPr>
      <t xml:space="preserve"> positioning; slowing momentum often aligns with rotation toward </t>
    </r>
    <r>
      <rPr>
        <b/>
        <sz val="11"/>
        <color theme="1"/>
        <rFont val="Calibri"/>
        <family val="2"/>
        <scheme val="minor"/>
      </rPr>
      <t>defensives</t>
    </r>
    <r>
      <rPr>
        <sz val="11"/>
        <color theme="1"/>
        <rFont val="Calibri"/>
        <family val="2"/>
        <scheme val="minor"/>
      </rPr>
      <t>. It’s a good “reality check” on consumer strength.</t>
    </r>
  </si>
  <si>
    <r>
      <t>YoY (primary)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3M</t>
    </r>
    <r>
      <rPr>
        <sz val="11"/>
        <color theme="1"/>
        <rFont val="Calibri"/>
        <family val="2"/>
        <scheme val="minor"/>
      </rPr>
      <t xml:space="preserve"> for turning points; </t>
    </r>
    <r>
      <rPr>
        <b/>
        <sz val="11"/>
        <color theme="1"/>
        <rFont val="Calibri"/>
        <family val="2"/>
        <scheme val="minor"/>
      </rPr>
      <t>1M</t>
    </r>
    <r>
      <rPr>
        <sz val="11"/>
        <color theme="1"/>
        <rFont val="Calibri"/>
        <family val="2"/>
        <scheme val="minor"/>
      </rPr>
      <t xml:space="preserve"> for short-term changes; </t>
    </r>
    <r>
      <rPr>
        <b/>
        <sz val="11"/>
        <color theme="1"/>
        <rFont val="Calibri"/>
        <family val="2"/>
        <scheme val="minor"/>
      </rPr>
      <t>Z-score</t>
    </r>
    <r>
      <rPr>
        <sz val="11"/>
        <color theme="1"/>
        <rFont val="Calibri"/>
        <family val="2"/>
        <scheme val="minor"/>
      </rPr>
      <t xml:space="preserve"> to standardize / composite.</t>
    </r>
  </si>
  <si>
    <r>
      <rPr>
        <b/>
        <sz val="11"/>
        <color rgb="FFFFFFFF"/>
        <rFont val="Calibri"/>
        <scheme val="minor"/>
      </rPr>
      <t>ISM Manufacturing PMI</t>
    </r>
    <r>
      <rPr>
        <sz val="11"/>
        <color rgb="FFFFFFFF"/>
        <rFont val="Calibri"/>
        <scheme val="minor"/>
      </rPr>
      <t xml:space="preserve"> </t>
    </r>
    <r>
      <rPr>
        <i/>
        <sz val="11"/>
        <color rgb="FFFFFFFF"/>
        <rFont val="Calibri"/>
        <scheme val="minor"/>
      </rPr>
      <t>(source: ISM; FRED not reliable due to licensing)</t>
    </r>
  </si>
  <si>
    <r>
      <t xml:space="preserve">PMI is a survey-based indicator that often turns before hard data, so it can lead market positioning. When PMI rises (especially above 50), markets often rotate toward </t>
    </r>
    <r>
      <rPr>
        <b/>
        <sz val="11"/>
        <color theme="1"/>
        <rFont val="Calibri"/>
        <family val="2"/>
        <scheme val="minor"/>
      </rPr>
      <t>cyclicals</t>
    </r>
    <r>
      <rPr>
        <sz val="11"/>
        <color theme="1"/>
        <rFont val="Calibri"/>
        <family val="2"/>
        <scheme val="minor"/>
      </rPr>
      <t xml:space="preserve"> as growth expectations improve. When PMI falls (near/below 50), rotation often shifts toward </t>
    </r>
    <r>
      <rPr>
        <b/>
        <sz val="11"/>
        <color theme="1"/>
        <rFont val="Calibri"/>
        <family val="2"/>
        <scheme val="minor"/>
      </rPr>
      <t>defensives/quality</t>
    </r>
    <r>
      <rPr>
        <sz val="11"/>
        <color theme="1"/>
        <rFont val="Calibri"/>
        <family val="2"/>
        <scheme val="minor"/>
      </rPr>
      <t>.</t>
    </r>
  </si>
  <si>
    <r>
      <t>Level + 1M change</t>
    </r>
    <r>
      <rPr>
        <sz val="11"/>
        <color theme="1"/>
        <rFont val="Calibri"/>
        <family val="2"/>
        <scheme val="minor"/>
      </rPr>
      <t xml:space="preserve"> (PMI(t)−PMI(t−1)); </t>
    </r>
    <r>
      <rPr>
        <b/>
        <sz val="11"/>
        <color theme="1"/>
        <rFont val="Calibri"/>
        <family val="2"/>
        <scheme val="minor"/>
      </rPr>
      <t>3M change</t>
    </r>
    <r>
      <rPr>
        <sz val="11"/>
        <color theme="1"/>
        <rFont val="Calibri"/>
        <family val="2"/>
        <scheme val="minor"/>
      </rPr>
      <t xml:space="preserve"> (PMI(t)−PMI(t−3)) as the main momentum signal; </t>
    </r>
    <r>
      <rPr>
        <b/>
        <sz val="11"/>
        <color theme="1"/>
        <rFont val="Calibri"/>
        <family val="2"/>
        <scheme val="minor"/>
      </rPr>
      <t>YoY</t>
    </r>
    <r>
      <rPr>
        <sz val="11"/>
        <color theme="1"/>
        <rFont val="Calibri"/>
        <family val="2"/>
        <scheme val="minor"/>
      </rPr>
      <t xml:space="preserve"> is not the preferred PMI metric; </t>
    </r>
    <r>
      <rPr>
        <b/>
        <sz val="11"/>
        <color theme="1"/>
        <rFont val="Calibri"/>
        <family val="2"/>
        <scheme val="minor"/>
      </rPr>
      <t>Z-score</t>
    </r>
    <r>
      <rPr>
        <sz val="11"/>
        <color theme="1"/>
        <rFont val="Calibri"/>
        <family val="2"/>
        <scheme val="minor"/>
      </rPr>
      <t xml:space="preserve"> optional.</t>
    </r>
  </si>
  <si>
    <r>
      <t>ISM Services PMI</t>
    </r>
    <r>
      <rPr>
        <sz val="11"/>
        <color theme="0"/>
        <rFont val="Calibri"/>
        <family val="2"/>
        <scheme val="minor"/>
      </rPr>
      <t xml:space="preserve"> </t>
    </r>
    <r>
      <rPr>
        <i/>
        <sz val="11"/>
        <color theme="0"/>
        <rFont val="Calibri"/>
        <family val="2"/>
        <scheme val="minor"/>
      </rPr>
      <t>(source: ISM; FRED not reliable due to licensing)</t>
    </r>
  </si>
  <si>
    <t>Services PMI tracks momentum in the largest part of the economy. Improving services momentum often supports broader risk-on positioning; weakening momentum can lead to more defensive sector preferences. It’s useful for reading domestic demand and earnings breadth.</t>
  </si>
  <si>
    <r>
      <t>Level + 1M change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3M change</t>
    </r>
    <r>
      <rPr>
        <sz val="11"/>
        <color theme="1"/>
        <rFont val="Calibri"/>
        <family val="2"/>
        <scheme val="minor"/>
      </rPr>
      <t xml:space="preserve"> as the main signal; </t>
    </r>
    <r>
      <rPr>
        <b/>
        <sz val="11"/>
        <color theme="1"/>
        <rFont val="Calibri"/>
        <family val="2"/>
        <scheme val="minor"/>
      </rPr>
      <t>YoY</t>
    </r>
    <r>
      <rPr>
        <sz val="11"/>
        <color theme="1"/>
        <rFont val="Calibri"/>
        <family val="2"/>
        <scheme val="minor"/>
      </rPr>
      <t xml:space="preserve"> not preferred for PMI; </t>
    </r>
    <r>
      <rPr>
        <b/>
        <sz val="11"/>
        <color theme="1"/>
        <rFont val="Calibri"/>
        <family val="2"/>
        <scheme val="minor"/>
      </rPr>
      <t>Z-score</t>
    </r>
    <r>
      <rPr>
        <sz val="11"/>
        <color theme="1"/>
        <rFont val="Calibri"/>
        <family val="2"/>
        <scheme val="minor"/>
      </rPr>
      <t xml:space="preserve"> optional.</t>
    </r>
  </si>
  <si>
    <t>GDPNow (reference only)</t>
  </si>
  <si>
    <t>GDPNow helps explain short-term market repricing within the current quarter. But it updates frequently, has a shorter/less stable history, and should not drive the main rotation signal. Use it as context against the monthly indicators.</t>
  </si>
  <si>
    <r>
      <t>Level only (reference).</t>
    </r>
    <r>
      <rPr>
        <sz val="11"/>
        <color theme="1"/>
        <rFont val="Calibri"/>
        <family val="2"/>
        <scheme val="minor"/>
      </rPr>
      <t xml:space="preserve"> Do not use YoY/1M/3M/Z in the core framework.</t>
    </r>
  </si>
  <si>
    <t>Industrial Production</t>
  </si>
  <si>
    <t>observation_date</t>
  </si>
  <si>
    <t>INDPRO</t>
  </si>
  <si>
    <t>INDPRO_YoY</t>
  </si>
  <si>
    <t>INDPRO_1M</t>
  </si>
  <si>
    <t>INDPRO_3M</t>
  </si>
  <si>
    <t>INDPRO_Z</t>
  </si>
  <si>
    <t>Retail Sales</t>
  </si>
  <si>
    <t>RSAFS</t>
  </si>
  <si>
    <t>RSAFS_YoY</t>
  </si>
  <si>
    <t>RSAFS_1M</t>
  </si>
  <si>
    <t>RSAFS_3M</t>
  </si>
  <si>
    <t>RSAFS_Z</t>
  </si>
  <si>
    <t xml:space="preserve">Nonfarm Payrolls </t>
  </si>
  <si>
    <t>PAYEMS</t>
  </si>
  <si>
    <t>PAYEMS_YoY</t>
  </si>
  <si>
    <t>PAYEMS_1M</t>
  </si>
  <si>
    <t>PAYEMS_3M</t>
  </si>
  <si>
    <t>PAYEMS_Z</t>
  </si>
  <si>
    <t>Real Personal Consumption Expenditures</t>
  </si>
  <si>
    <t>PCEC96</t>
  </si>
  <si>
    <t>PCEC96_YoY</t>
  </si>
  <si>
    <t>PCEC96_1M</t>
  </si>
  <si>
    <t>PCEC96_3M</t>
  </si>
  <si>
    <t>PCEC96_Z</t>
  </si>
  <si>
    <t>reference only</t>
  </si>
  <si>
    <t>GDPNOW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</si>
</sst>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scheme val="minor"/>
    </font>
    <font>
      <b/>
      <sz val="10"/>
      <color rgb="FF000000"/>
      <name val="Helvetica Neue"/>
      <charset val="1"/>
    </font>
    <font>
      <b/>
      <sz val="10"/>
      <color theme="1"/>
      <name val="Calibri"/>
      <scheme val="minor"/>
    </font>
    <font>
      <sz val="10"/>
      <color rgb="FF000000"/>
      <name val="Helvetica Neue"/>
      <charset val="1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i/>
      <sz val="11"/>
      <color rgb="FFFFFFFF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0" xfId="0" applyFont="1" applyFill="1"/>
    <xf numFmtId="14" fontId="3" fillId="3" borderId="0" xfId="0" applyNumberFormat="1" applyFont="1" applyFill="1"/>
    <xf numFmtId="2" fontId="0" fillId="0" borderId="0" xfId="0" applyNumberFormat="1"/>
    <xf numFmtId="10" fontId="0" fillId="0" borderId="0" xfId="0" applyNumberFormat="1"/>
    <xf numFmtId="0" fontId="5" fillId="0" borderId="0" xfId="0" applyFont="1"/>
    <xf numFmtId="2" fontId="5" fillId="0" borderId="0" xfId="0" applyNumberFormat="1" applyFont="1"/>
    <xf numFmtId="10" fontId="2" fillId="0" borderId="0" xfId="0" applyNumberFormat="1" applyFont="1"/>
    <xf numFmtId="2" fontId="2" fillId="0" borderId="0" xfId="0" applyNumberFormat="1" applyFont="1"/>
    <xf numFmtId="14" fontId="5" fillId="0" borderId="0" xfId="0" applyNumberFormat="1" applyFont="1"/>
    <xf numFmtId="2" fontId="6" fillId="0" borderId="0" xfId="0" applyNumberFormat="1" applyFont="1"/>
    <xf numFmtId="0" fontId="4" fillId="0" borderId="0" xfId="0" applyFont="1"/>
    <xf numFmtId="0" fontId="3" fillId="0" borderId="0" xfId="0" applyFont="1"/>
    <xf numFmtId="0" fontId="7" fillId="0" borderId="0" xfId="0" applyFont="1"/>
    <xf numFmtId="2" fontId="7" fillId="0" borderId="0" xfId="0" applyNumberFormat="1" applyFont="1"/>
    <xf numFmtId="10" fontId="7" fillId="0" borderId="0" xfId="0" applyNumberFormat="1" applyFont="1"/>
    <xf numFmtId="0" fontId="8" fillId="0" borderId="0" xfId="0" applyFont="1"/>
    <xf numFmtId="0" fontId="9" fillId="0" borderId="0" xfId="0" applyFont="1"/>
    <xf numFmtId="10" fontId="10" fillId="0" borderId="0" xfId="0" applyNumberFormat="1" applyFont="1"/>
    <xf numFmtId="2" fontId="10" fillId="0" borderId="0" xfId="0" applyNumberFormat="1" applyFont="1"/>
    <xf numFmtId="14" fontId="8" fillId="0" borderId="0" xfId="0" applyNumberFormat="1" applyFont="1"/>
    <xf numFmtId="0" fontId="11" fillId="0" borderId="0" xfId="0" applyFont="1"/>
    <xf numFmtId="10" fontId="12" fillId="0" borderId="0" xfId="0" applyNumberFormat="1" applyFont="1"/>
    <xf numFmtId="2" fontId="12" fillId="0" borderId="0" xfId="0" applyNumberFormat="1" applyFont="1"/>
    <xf numFmtId="2" fontId="13" fillId="0" borderId="0" xfId="0" applyNumberFormat="1" applyFont="1"/>
    <xf numFmtId="0" fontId="0" fillId="4" borderId="0" xfId="0" applyFill="1" applyAlignment="1">
      <alignment wrapText="1"/>
    </xf>
    <xf numFmtId="0" fontId="0" fillId="4" borderId="0" xfId="0" applyFill="1"/>
    <xf numFmtId="0" fontId="14" fillId="4" borderId="0" xfId="0" applyFont="1" applyFill="1"/>
    <xf numFmtId="0" fontId="14" fillId="4" borderId="5" xfId="0" applyFont="1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15" fillId="5" borderId="1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left" vertical="top" wrapText="1"/>
    </xf>
    <xf numFmtId="0" fontId="18" fillId="6" borderId="4" xfId="0" applyFont="1" applyFill="1" applyBorder="1" applyAlignment="1">
      <alignment horizontal="left" vertical="top" wrapText="1"/>
    </xf>
    <xf numFmtId="10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9043-2277-47A5-871A-421C1A25BEE1}">
  <dimension ref="A1:C12"/>
  <sheetViews>
    <sheetView workbookViewId="0">
      <pane xSplit="1" topLeftCell="B6" activePane="topRight" state="frozen"/>
      <selection pane="topRight" activeCell="A8" sqref="A8"/>
    </sheetView>
  </sheetViews>
  <sheetFormatPr defaultRowHeight="15"/>
  <cols>
    <col min="1" max="1" width="25" style="25" customWidth="1"/>
    <col min="2" max="2" width="70.85546875" style="25" customWidth="1"/>
    <col min="3" max="3" width="60.7109375" style="25" customWidth="1"/>
    <col min="4" max="7" width="40.42578125" customWidth="1"/>
  </cols>
  <sheetData>
    <row r="1" spans="1:3" ht="18" customHeight="1">
      <c r="A1" s="27" t="s">
        <v>0</v>
      </c>
      <c r="B1" s="27" t="s">
        <v>1</v>
      </c>
      <c r="C1" s="26"/>
    </row>
    <row r="2" spans="1:3">
      <c r="A2" s="26"/>
      <c r="B2" s="26" t="s">
        <v>2</v>
      </c>
    </row>
    <row r="3" spans="1:3" ht="6" customHeight="1"/>
    <row r="4" spans="1:3">
      <c r="A4" s="32" t="s">
        <v>3</v>
      </c>
      <c r="B4" s="33" t="s">
        <v>4</v>
      </c>
      <c r="C4" s="34" t="s">
        <v>5</v>
      </c>
    </row>
    <row r="5" spans="1:3" ht="60.75">
      <c r="A5" s="35" t="s">
        <v>6</v>
      </c>
      <c r="B5" s="25" t="s">
        <v>7</v>
      </c>
      <c r="C5" s="28" t="s">
        <v>8</v>
      </c>
    </row>
    <row r="6" spans="1:3" ht="60.75">
      <c r="A6" s="35" t="s">
        <v>9</v>
      </c>
      <c r="B6" s="25" t="s">
        <v>10</v>
      </c>
      <c r="C6" s="28" t="s">
        <v>11</v>
      </c>
    </row>
    <row r="7" spans="1:3" ht="60.75">
      <c r="A7" s="35" t="s">
        <v>12</v>
      </c>
      <c r="B7" s="25" t="s">
        <v>13</v>
      </c>
      <c r="C7" s="28" t="s">
        <v>14</v>
      </c>
    </row>
    <row r="8" spans="1:3" ht="60.75">
      <c r="A8" s="35" t="s">
        <v>15</v>
      </c>
      <c r="B8" s="25" t="s">
        <v>16</v>
      </c>
      <c r="C8" s="28" t="s">
        <v>17</v>
      </c>
    </row>
    <row r="9" spans="1:3" ht="60.75">
      <c r="A9" s="36" t="s">
        <v>18</v>
      </c>
      <c r="B9" s="25" t="s">
        <v>19</v>
      </c>
      <c r="C9" s="28" t="s">
        <v>20</v>
      </c>
    </row>
    <row r="10" spans="1:3" ht="60.75">
      <c r="A10" s="35" t="s">
        <v>21</v>
      </c>
      <c r="B10" s="25" t="s">
        <v>22</v>
      </c>
      <c r="C10" s="28" t="s">
        <v>23</v>
      </c>
    </row>
    <row r="11" spans="1:3" ht="45.75">
      <c r="A11" s="35" t="s">
        <v>24</v>
      </c>
      <c r="B11" s="25" t="s">
        <v>25</v>
      </c>
      <c r="C11" s="28" t="s">
        <v>26</v>
      </c>
    </row>
    <row r="12" spans="1:3">
      <c r="A12" s="29"/>
      <c r="B12" s="30"/>
      <c r="C12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9237-62CC-4827-9242-E84782D53B44}">
  <dimension ref="A1:F195"/>
  <sheetViews>
    <sheetView workbookViewId="0">
      <selection activeCell="C17" sqref="C17"/>
    </sheetView>
  </sheetViews>
  <sheetFormatPr defaultRowHeight="15"/>
  <cols>
    <col min="1" max="1" width="19.7109375" customWidth="1"/>
    <col min="2" max="2" width="11.140625" style="3" customWidth="1"/>
    <col min="3" max="4" width="12.7109375" style="4" customWidth="1"/>
    <col min="5" max="5" width="18.140625" style="4" customWidth="1"/>
    <col min="6" max="6" width="11.5703125" style="3" customWidth="1"/>
  </cols>
  <sheetData>
    <row r="1" spans="1:6">
      <c r="A1" s="3" t="s">
        <v>27</v>
      </c>
    </row>
    <row r="2" spans="1:6">
      <c r="A2" s="5" t="s">
        <v>28</v>
      </c>
      <c r="B2" s="6" t="s">
        <v>29</v>
      </c>
      <c r="C2" s="7" t="s">
        <v>30</v>
      </c>
      <c r="D2" s="7" t="s">
        <v>31</v>
      </c>
      <c r="E2" s="7" t="s">
        <v>32</v>
      </c>
      <c r="F2" s="8" t="s">
        <v>33</v>
      </c>
    </row>
    <row r="3" spans="1:6">
      <c r="A3" s="9">
        <v>40179</v>
      </c>
      <c r="B3" s="10">
        <v>89.342600000000004</v>
      </c>
      <c r="C3" s="37" t="str" cm="1">
        <f t="array" ref="C3">IF(ROW()&lt;14,"",IFERROR(B3/INDEX($B:$B,ROW()-12)-1,""))</f>
        <v/>
      </c>
      <c r="D3" s="37" t="str" cm="1">
        <f t="array" ref="D3">IF(ROW()&lt;3,"NA",IFERROR(B3/INDEX($B:$B,ROW()-1)-1,"NA"))</f>
        <v>NA</v>
      </c>
      <c r="E3" s="37" t="str" cm="1">
        <f t="array" ref="E3">IF(ROW()&lt;5,"NA",IFERROR(B3/INDEX($B:$B,ROW()-3)-1,"NA"))</f>
        <v>NA</v>
      </c>
      <c r="F3" s="38">
        <f>IFERROR((B3-AVERAGE($B:$B))/_xlfn.STDEV.S($B:$B),"")</f>
        <v>-2.9418723525236281</v>
      </c>
    </row>
    <row r="4" spans="1:6">
      <c r="A4" s="9">
        <v>40210</v>
      </c>
      <c r="B4" s="10">
        <v>89.677899999999994</v>
      </c>
      <c r="C4" s="37" t="str" cm="1">
        <f t="array" ref="C4">IF(ROW()&lt;14,"",IFERROR(B4/INDEX($B:$B,ROW()-12)-1,""))</f>
        <v/>
      </c>
      <c r="D4" s="37" cm="1">
        <f t="array" ref="D4">IF(ROW()&lt;3,"NA",IFERROR(B4/INDEX($B:$B,ROW()-1)-1,"NA"))</f>
        <v>3.7529689084490059E-3</v>
      </c>
      <c r="E4" s="37" t="str" cm="1">
        <f t="array" ref="E4">IF(ROW()&lt;5,"NA",IFERROR(B4/INDEX($B:$B,ROW()-3)-1,"NA"))</f>
        <v>NA</v>
      </c>
      <c r="F4" s="38">
        <f t="shared" ref="F4:F67" si="0">IFERROR((B4-AVERAGE($B:$B))/_xlfn.STDEV.S($B:$B),"")</f>
        <v>-2.8428595255109999</v>
      </c>
    </row>
    <row r="5" spans="1:6">
      <c r="A5" s="9">
        <v>40238</v>
      </c>
      <c r="B5" s="10">
        <v>90.2928</v>
      </c>
      <c r="C5" s="37" t="str" cm="1">
        <f t="array" ref="C5">IF(ROW()&lt;14,"",IFERROR(B5/INDEX($B:$B,ROW()-12)-1,""))</f>
        <v/>
      </c>
      <c r="D5" s="37" cm="1">
        <f t="array" ref="D5">IF(ROW()&lt;3,"NA",IFERROR(B5/INDEX($B:$B,ROW()-1)-1,"NA"))</f>
        <v>6.856761810881018E-3</v>
      </c>
      <c r="E5" s="37" t="str" cm="1">
        <f t="array" ref="E5">IF(ROW()&lt;5,"NA",IFERROR(B5/INDEX($B:$B,ROW()-3)-1,"NA"))</f>
        <v>NA</v>
      </c>
      <c r="F5" s="38">
        <f t="shared" si="0"/>
        <v>-2.6612818716784092</v>
      </c>
    </row>
    <row r="6" spans="1:6">
      <c r="A6" s="9">
        <v>40269</v>
      </c>
      <c r="B6" s="10">
        <v>90.599100000000007</v>
      </c>
      <c r="C6" s="37" t="str" cm="1">
        <f t="array" ref="C6">IF(ROW()&lt;14,"",IFERROR(B6/INDEX($B:$B,ROW()-12)-1,""))</f>
        <v/>
      </c>
      <c r="D6" s="37" cm="1">
        <f t="array" ref="D6">IF(ROW()&lt;3,"NA",IFERROR(B6/INDEX($B:$B,ROW()-1)-1,"NA"))</f>
        <v>3.3922970602306979E-3</v>
      </c>
      <c r="E6" s="37" cm="1">
        <f t="array" ref="E6">IF(ROW()&lt;5,"NA",IFERROR(B6/INDEX($B:$B,ROW()-3)-1,"NA"))</f>
        <v>1.4063839646484499E-2</v>
      </c>
      <c r="F6" s="38">
        <f t="shared" si="0"/>
        <v>-2.5708326354303637</v>
      </c>
    </row>
    <row r="7" spans="1:6">
      <c r="A7" s="9">
        <v>40299</v>
      </c>
      <c r="B7" s="10">
        <v>91.822999999999993</v>
      </c>
      <c r="C7" s="37" t="str" cm="1">
        <f t="array" ref="C7">IF(ROW()&lt;14,"",IFERROR(B7/INDEX($B:$B,ROW()-12)-1,""))</f>
        <v/>
      </c>
      <c r="D7" s="37" cm="1">
        <f t="array" ref="D7">IF(ROW()&lt;3,"NA",IFERROR(B7/INDEX($B:$B,ROW()-1)-1,"NA"))</f>
        <v>1.3508964217083586E-2</v>
      </c>
      <c r="E7" s="37" cm="1">
        <f t="array" ref="E7">IF(ROW()&lt;5,"NA",IFERROR(B7/INDEX($B:$B,ROW()-3)-1,"NA"))</f>
        <v>2.3920051651521668E-2</v>
      </c>
      <c r="F7" s="38">
        <f t="shared" si="0"/>
        <v>-2.2094195755414341</v>
      </c>
    </row>
    <row r="8" spans="1:6">
      <c r="A8" s="9">
        <v>40330</v>
      </c>
      <c r="B8" s="10">
        <v>91.992800000000003</v>
      </c>
      <c r="C8" s="37" t="str" cm="1">
        <f t="array" ref="C8">IF(ROW()&lt;14,"",IFERROR(B8/INDEX($B:$B,ROW()-12)-1,""))</f>
        <v/>
      </c>
      <c r="D8" s="37" cm="1">
        <f t="array" ref="D8">IF(ROW()&lt;3,"NA",IFERROR(B8/INDEX($B:$B,ROW()-1)-1,"NA"))</f>
        <v>1.8492098929463463E-3</v>
      </c>
      <c r="E8" s="37" cm="1">
        <f t="array" ref="E8">IF(ROW()&lt;5,"NA",IFERROR(B8/INDEX($B:$B,ROW()-3)-1,"NA"))</f>
        <v>1.8827636312086948E-2</v>
      </c>
      <c r="F8" s="38">
        <f t="shared" si="0"/>
        <v>-2.159278275133603</v>
      </c>
    </row>
    <row r="9" spans="1:6">
      <c r="A9" s="9">
        <v>40360</v>
      </c>
      <c r="B9" s="10">
        <v>92.342100000000002</v>
      </c>
      <c r="C9" s="37" t="str" cm="1">
        <f t="array" ref="C9">IF(ROW()&lt;14,"",IFERROR(B9/INDEX($B:$B,ROW()-12)-1,""))</f>
        <v/>
      </c>
      <c r="D9" s="37" cm="1">
        <f t="array" ref="D9">IF(ROW()&lt;3,"NA",IFERROR(B9/INDEX($B:$B,ROW()-1)-1,"NA"))</f>
        <v>3.7970362897965515E-3</v>
      </c>
      <c r="E9" s="37" cm="1">
        <f t="array" ref="E9">IF(ROW()&lt;5,"NA",IFERROR(B9/INDEX($B:$B,ROW()-3)-1,"NA"))</f>
        <v>1.9238601707963987E-2</v>
      </c>
      <c r="F9" s="38">
        <f t="shared" si="0"/>
        <v>-2.0561313008553088</v>
      </c>
    </row>
    <row r="10" spans="1:6">
      <c r="A10" s="9">
        <v>40391</v>
      </c>
      <c r="B10" s="10">
        <v>92.680499999999995</v>
      </c>
      <c r="C10" s="37" t="str" cm="1">
        <f t="array" ref="C10">IF(ROW()&lt;14,"",IFERROR(B10/INDEX($B:$B,ROW()-12)-1,""))</f>
        <v/>
      </c>
      <c r="D10" s="37" cm="1">
        <f t="array" ref="D10">IF(ROW()&lt;3,"NA",IFERROR(B10/INDEX($B:$B,ROW()-1)-1,"NA"))</f>
        <v>3.6646340076735839E-3</v>
      </c>
      <c r="E10" s="37" cm="1">
        <f t="array" ref="E10">IF(ROW()&lt;5,"NA",IFERROR(B10/INDEX($B:$B,ROW()-3)-1,"NA"))</f>
        <v>9.3386188645545598E-3</v>
      </c>
      <c r="F10" s="38">
        <f t="shared" si="0"/>
        <v>-1.9562030555195686</v>
      </c>
    </row>
    <row r="11" spans="1:6">
      <c r="A11" s="9">
        <v>40422</v>
      </c>
      <c r="B11" s="10">
        <v>92.953699999999998</v>
      </c>
      <c r="C11" s="37" t="str" cm="1">
        <f t="array" ref="C11">IF(ROW()&lt;14,"",IFERROR(B11/INDEX($B:$B,ROW()-12)-1,""))</f>
        <v/>
      </c>
      <c r="D11" s="37" cm="1">
        <f t="array" ref="D11">IF(ROW()&lt;3,"NA",IFERROR(B11/INDEX($B:$B,ROW()-1)-1,"NA"))</f>
        <v>2.9477613953312609E-3</v>
      </c>
      <c r="E11" s="37" cm="1">
        <f t="array" ref="E11">IF(ROW()&lt;5,"NA",IFERROR(B11/INDEX($B:$B,ROW()-3)-1,"NA"))</f>
        <v>1.0445382682122917E-2</v>
      </c>
      <c r="F11" s="38">
        <f t="shared" si="0"/>
        <v>-1.8755281245924849</v>
      </c>
    </row>
    <row r="12" spans="1:6">
      <c r="A12" s="9">
        <v>40452</v>
      </c>
      <c r="B12" s="10">
        <v>92.690299999999993</v>
      </c>
      <c r="C12" s="37" t="str" cm="1">
        <f t="array" ref="C12">IF(ROW()&lt;14,"",IFERROR(B12/INDEX($B:$B,ROW()-12)-1,""))</f>
        <v/>
      </c>
      <c r="D12" s="37" cm="1">
        <f t="array" ref="D12">IF(ROW()&lt;3,"NA",IFERROR(B12/INDEX($B:$B,ROW()-1)-1,"NA"))</f>
        <v>-2.8336688050072389E-3</v>
      </c>
      <c r="E12" s="37" cm="1">
        <f t="array" ref="E12">IF(ROW()&lt;5,"NA",IFERROR(B12/INDEX($B:$B,ROW()-3)-1,"NA"))</f>
        <v>3.7707611154607079E-3</v>
      </c>
      <c r="F12" s="38">
        <f t="shared" si="0"/>
        <v>-1.9533091524336048</v>
      </c>
    </row>
    <row r="13" spans="1:6">
      <c r="A13" s="9">
        <v>40483</v>
      </c>
      <c r="B13" s="10">
        <v>92.770899999999997</v>
      </c>
      <c r="C13" s="37" t="str" cm="1">
        <f t="array" ref="C13">IF(ROW()&lt;14,"",IFERROR(B13/INDEX($B:$B,ROW()-12)-1,""))</f>
        <v/>
      </c>
      <c r="D13" s="37" cm="1">
        <f t="array" ref="D13">IF(ROW()&lt;3,"NA",IFERROR(B13/INDEX($B:$B,ROW()-1)-1,"NA"))</f>
        <v>8.6956240296998111E-4</v>
      </c>
      <c r="E13" s="37" cm="1">
        <f t="array" ref="E13">IF(ROW()&lt;5,"NA",IFERROR(B13/INDEX($B:$B,ROW()-3)-1,"NA"))</f>
        <v>9.7539396097356956E-4</v>
      </c>
      <c r="F13" s="38">
        <f t="shared" si="0"/>
        <v>-1.9295082760327147</v>
      </c>
    </row>
    <row r="14" spans="1:6">
      <c r="A14" s="9">
        <v>40513</v>
      </c>
      <c r="B14" s="10">
        <v>93.678700000000006</v>
      </c>
      <c r="C14" s="37" t="str" cm="1">
        <f t="array" ref="C14">IF(ROW()&lt;14,"",IFERROR(B14/INDEX($B:$B,ROW()-12)-1,""))</f>
        <v/>
      </c>
      <c r="D14" s="37" cm="1">
        <f t="array" ref="D14">IF(ROW()&lt;3,"NA",IFERROR(B14/INDEX($B:$B,ROW()-1)-1,"NA"))</f>
        <v>9.7853960670857276E-3</v>
      </c>
      <c r="E14" s="37" cm="1">
        <f t="array" ref="E14">IF(ROW()&lt;5,"NA",IFERROR(B14/INDEX($B:$B,ROW()-3)-1,"NA"))</f>
        <v>7.7995819424079293E-3</v>
      </c>
      <c r="F14" s="38">
        <f t="shared" si="0"/>
        <v>-1.6614383554777861</v>
      </c>
    </row>
    <row r="15" spans="1:6">
      <c r="A15" s="9">
        <v>40544</v>
      </c>
      <c r="B15" s="10">
        <v>93.481399999999994</v>
      </c>
      <c r="C15" s="37" cm="1">
        <f t="array" ref="C15">IF(ROW()&lt;14,"",IFERROR(B15/INDEX($B:$B,ROW()-12)-1,""))</f>
        <v>4.632504538708293E-2</v>
      </c>
      <c r="D15" s="37" cm="1">
        <f t="array" ref="D15">IF(ROW()&lt;3,"NA",IFERROR(B15/INDEX($B:$B,ROW()-1)-1,"NA"))</f>
        <v>-2.1061351192962485E-3</v>
      </c>
      <c r="E15" s="37" cm="1">
        <f t="array" ref="E15">IF(ROW()&lt;5,"NA",IFERROR(B15/INDEX($B:$B,ROW()-3)-1,"NA"))</f>
        <v>8.5348736599191177E-3</v>
      </c>
      <c r="F15" s="38">
        <f t="shared" si="0"/>
        <v>-1.7197003023003135</v>
      </c>
    </row>
    <row r="16" spans="1:6">
      <c r="A16" s="9">
        <v>40575</v>
      </c>
      <c r="B16" s="10">
        <v>93.110200000000006</v>
      </c>
      <c r="C16" s="37" cm="1">
        <f t="array" ref="C16">IF(ROW()&lt;14,"",IFERROR(B16/INDEX($B:$B,ROW()-12)-1,""))</f>
        <v>3.8273643785146749E-2</v>
      </c>
      <c r="D16" s="37" cm="1">
        <f t="array" ref="D16">IF(ROW()&lt;3,"NA",IFERROR(B16/INDEX($B:$B,ROW()-1)-1,"NA"))</f>
        <v>-3.970843397723911E-3</v>
      </c>
      <c r="E16" s="37" cm="1">
        <f t="array" ref="E16">IF(ROW()&lt;5,"NA",IFERROR(B16/INDEX($B:$B,ROW()-3)-1,"NA"))</f>
        <v>3.6573968776847376E-3</v>
      </c>
      <c r="F16" s="38">
        <f t="shared" si="0"/>
        <v>-1.8293142640870341</v>
      </c>
    </row>
    <row r="17" spans="1:6">
      <c r="A17" s="9">
        <v>40603</v>
      </c>
      <c r="B17" s="10">
        <v>94.078800000000001</v>
      </c>
      <c r="C17" s="37" cm="1">
        <f t="array" ref="C17">IF(ROW()&lt;14,"",IFERROR(B17/INDEX($B:$B,ROW()-12)-1,""))</f>
        <v>4.1930253575035881E-2</v>
      </c>
      <c r="D17" s="37" cm="1">
        <f t="array" ref="D17">IF(ROW()&lt;3,"NA",IFERROR(B17/INDEX($B:$B,ROW()-1)-1,"NA"))</f>
        <v>1.040272709112422E-2</v>
      </c>
      <c r="E17" s="37" cm="1">
        <f t="array" ref="E17">IF(ROW()&lt;5,"NA",IFERROR(B17/INDEX($B:$B,ROW()-3)-1,"NA"))</f>
        <v>4.2709815571735366E-3</v>
      </c>
      <c r="F17" s="38">
        <f t="shared" si="0"/>
        <v>-1.5432903325498013</v>
      </c>
    </row>
    <row r="18" spans="1:6">
      <c r="A18" s="9">
        <v>40634</v>
      </c>
      <c r="B18" s="10">
        <v>93.774900000000002</v>
      </c>
      <c r="C18" s="37" cm="1">
        <f t="array" ref="C18">IF(ROW()&lt;14,"",IFERROR(B18/INDEX($B:$B,ROW()-12)-1,""))</f>
        <v>3.5053328344321288E-2</v>
      </c>
      <c r="D18" s="37" cm="1">
        <f t="array" ref="D18">IF(ROW()&lt;3,"NA",IFERROR(B18/INDEX($B:$B,ROW()-1)-1,"NA"))</f>
        <v>-3.2302707942702957E-3</v>
      </c>
      <c r="E18" s="37" cm="1">
        <f t="array" ref="E18">IF(ROW()&lt;5,"NA",IFERROR(B18/INDEX($B:$B,ROW()-3)-1,"NA"))</f>
        <v>3.1396620076293846E-3</v>
      </c>
      <c r="F18" s="38">
        <f t="shared" si="0"/>
        <v>-1.6330308578380164</v>
      </c>
    </row>
    <row r="19" spans="1:6">
      <c r="A19" s="9">
        <v>40664</v>
      </c>
      <c r="B19" s="10">
        <v>93.888000000000005</v>
      </c>
      <c r="C19" s="37" cm="1">
        <f t="array" ref="C19">IF(ROW()&lt;14,"",IFERROR(B19/INDEX($B:$B,ROW()-12)-1,""))</f>
        <v>2.248891889831528E-2</v>
      </c>
      <c r="D19" s="37" cm="1">
        <f t="array" ref="D19">IF(ROW()&lt;3,"NA",IFERROR(B19/INDEX($B:$B,ROW()-1)-1,"NA"))</f>
        <v>1.2060796652408889E-3</v>
      </c>
      <c r="E19" s="37" cm="1">
        <f t="array" ref="E19">IF(ROW()&lt;5,"NA",IFERROR(B19/INDEX($B:$B,ROW()-3)-1,"NA"))</f>
        <v>8.3535423616316606E-3</v>
      </c>
      <c r="F19" s="38">
        <f t="shared" si="0"/>
        <v>-1.5996328538561229</v>
      </c>
    </row>
    <row r="20" spans="1:6">
      <c r="A20" s="9">
        <v>40695</v>
      </c>
      <c r="B20" s="10">
        <v>94.171999999999997</v>
      </c>
      <c r="C20" s="37" cm="1">
        <f t="array" ref="C20">IF(ROW()&lt;14,"",IFERROR(B20/INDEX($B:$B,ROW()-12)-1,""))</f>
        <v>2.3688810428642126E-2</v>
      </c>
      <c r="D20" s="37" cm="1">
        <f t="array" ref="D20">IF(ROW()&lt;3,"NA",IFERROR(B20/INDEX($B:$B,ROW()-1)-1,"NA"))</f>
        <v>3.0248807089297003E-3</v>
      </c>
      <c r="E20" s="37" cm="1">
        <f t="array" ref="E20">IF(ROW()&lt;5,"NA",IFERROR(B20/INDEX($B:$B,ROW()-3)-1,"NA"))</f>
        <v>9.906588944585959E-4</v>
      </c>
      <c r="F20" s="38">
        <f t="shared" si="0"/>
        <v>-1.5157687236098167</v>
      </c>
    </row>
    <row r="21" spans="1:6">
      <c r="A21" s="9">
        <v>40725</v>
      </c>
      <c r="B21" s="10">
        <v>94.635999999999996</v>
      </c>
      <c r="C21" s="37" cm="1">
        <f t="array" ref="C21">IF(ROW()&lt;14,"",IFERROR(B21/INDEX($B:$B,ROW()-12)-1,""))</f>
        <v>2.484132372991299E-2</v>
      </c>
      <c r="D21" s="37" cm="1">
        <f t="array" ref="D21">IF(ROW()&lt;3,"NA",IFERROR(B21/INDEX($B:$B,ROW()-1)-1,"NA"))</f>
        <v>4.9271545682367801E-3</v>
      </c>
      <c r="E21" s="37" cm="1">
        <f t="array" ref="E21">IF(ROW()&lt;5,"NA",IFERROR(B21/INDEX($B:$B,ROW()-3)-1,"NA"))</f>
        <v>9.1826277607334195E-3</v>
      </c>
      <c r="F21" s="38">
        <f t="shared" si="0"/>
        <v>-1.3787512713764114</v>
      </c>
    </row>
    <row r="22" spans="1:6">
      <c r="A22" s="9">
        <v>40756</v>
      </c>
      <c r="B22" s="10">
        <v>95.274900000000002</v>
      </c>
      <c r="C22" s="37" cm="1">
        <f t="array" ref="C22">IF(ROW()&lt;14,"",IFERROR(B22/INDEX($B:$B,ROW()-12)-1,""))</f>
        <v>2.7992943499441703E-2</v>
      </c>
      <c r="D22" s="37" cm="1">
        <f t="array" ref="D22">IF(ROW()&lt;3,"NA",IFERROR(B22/INDEX($B:$B,ROW()-1)-1,"NA"))</f>
        <v>6.7511306479564048E-3</v>
      </c>
      <c r="E22" s="37" cm="1">
        <f t="array" ref="E22">IF(ROW()&lt;5,"NA",IFERROR(B22/INDEX($B:$B,ROW()-3)-1,"NA"))</f>
        <v>1.4771855828220826E-2</v>
      </c>
      <c r="F22" s="38">
        <f t="shared" si="0"/>
        <v>-1.1900865079455412</v>
      </c>
    </row>
    <row r="23" spans="1:6">
      <c r="A23" s="9">
        <v>40787</v>
      </c>
      <c r="B23" s="10">
        <v>95.196100000000001</v>
      </c>
      <c r="C23" s="37" cm="1">
        <f t="array" ref="C23">IF(ROW()&lt;14,"",IFERROR(B23/INDEX($B:$B,ROW()-12)-1,""))</f>
        <v>2.4123837996766095E-2</v>
      </c>
      <c r="D23" s="37" cm="1">
        <f t="array" ref="D23">IF(ROW()&lt;3,"NA",IFERROR(B23/INDEX($B:$B,ROW()-1)-1,"NA"))</f>
        <v>-8.2708037478917973E-4</v>
      </c>
      <c r="E23" s="37" cm="1">
        <f t="array" ref="E23">IF(ROW()&lt;5,"NA",IFERROR(B23/INDEX($B:$B,ROW()-3)-1,"NA"))</f>
        <v>1.087478231321426E-2</v>
      </c>
      <c r="F23" s="38">
        <f t="shared" si="0"/>
        <v>-1.2133558511265594</v>
      </c>
    </row>
    <row r="24" spans="1:6">
      <c r="A24" s="9">
        <v>40817</v>
      </c>
      <c r="B24" s="10">
        <v>95.856800000000007</v>
      </c>
      <c r="C24" s="37" cm="1">
        <f t="array" ref="C24">IF(ROW()&lt;14,"",IFERROR(B24/INDEX($B:$B,ROW()-12)-1,""))</f>
        <v>3.4162150732061747E-2</v>
      </c>
      <c r="D24" s="37" cm="1">
        <f t="array" ref="D24">IF(ROW()&lt;3,"NA",IFERROR(B24/INDEX($B:$B,ROW()-1)-1,"NA"))</f>
        <v>6.940410373954542E-3</v>
      </c>
      <c r="E24" s="37" cm="1">
        <f t="array" ref="E24">IF(ROW()&lt;5,"NA",IFERROR(B24/INDEX($B:$B,ROW()-3)-1,"NA"))</f>
        <v>1.2899953506065431E-2</v>
      </c>
      <c r="F24" s="38">
        <f t="shared" si="0"/>
        <v>-1.0182536298105855</v>
      </c>
    </row>
    <row r="25" spans="1:6">
      <c r="A25" s="9">
        <v>40848</v>
      </c>
      <c r="B25" s="10">
        <v>95.848500000000001</v>
      </c>
      <c r="C25" s="37" cm="1">
        <f t="array" ref="C25">IF(ROW()&lt;14,"",IFERROR(B25/INDEX($B:$B,ROW()-12)-1,""))</f>
        <v>3.3174195787687877E-2</v>
      </c>
      <c r="D25" s="37" cm="1">
        <f t="array" ref="D25">IF(ROW()&lt;3,"NA",IFERROR(B25/INDEX($B:$B,ROW()-1)-1,"NA"))</f>
        <v>-8.6587493010492622E-5</v>
      </c>
      <c r="E25" s="37" cm="1">
        <f t="array" ref="E25">IF(ROW()&lt;5,"NA",IFERROR(B25/INDEX($B:$B,ROW()-3)-1,"NA"))</f>
        <v>6.020473388059111E-3</v>
      </c>
      <c r="F25" s="38">
        <f t="shared" si="0"/>
        <v>-1.020704588546659</v>
      </c>
    </row>
    <row r="26" spans="1:6">
      <c r="A26" s="9">
        <v>40878</v>
      </c>
      <c r="B26" s="10">
        <v>96.357100000000003</v>
      </c>
      <c r="C26" s="37" cm="1">
        <f t="array" ref="C26">IF(ROW()&lt;14,"",IFERROR(B26/INDEX($B:$B,ROW()-12)-1,""))</f>
        <v>2.8591344670666929E-2</v>
      </c>
      <c r="D26" s="37" cm="1">
        <f t="array" ref="D26">IF(ROW()&lt;3,"NA",IFERROR(B26/INDEX($B:$B,ROW()-1)-1,"NA"))</f>
        <v>5.3062906566090362E-3</v>
      </c>
      <c r="E26" s="37" cm="1">
        <f t="array" ref="E26">IF(ROW()&lt;5,"NA",IFERROR(B26/INDEX($B:$B,ROW()-3)-1,"NA"))</f>
        <v>1.2195877772303687E-2</v>
      </c>
      <c r="F26" s="38">
        <f t="shared" si="0"/>
        <v>-0.87051692430978322</v>
      </c>
    </row>
    <row r="27" spans="1:6">
      <c r="A27" s="9">
        <v>40909</v>
      </c>
      <c r="B27" s="10">
        <v>96.931799999999996</v>
      </c>
      <c r="C27" s="37" cm="1">
        <f t="array" ref="C27">IF(ROW()&lt;14,"",IFERROR(B27/INDEX($B:$B,ROW()-12)-1,""))</f>
        <v>3.6910016324102957E-2</v>
      </c>
      <c r="D27" s="37" cm="1">
        <f t="array" ref="D27">IF(ROW()&lt;3,"NA",IFERROR(B27/INDEX($B:$B,ROW()-1)-1,"NA"))</f>
        <v>5.9642724822559501E-3</v>
      </c>
      <c r="E27" s="37" cm="1">
        <f t="array" ref="E27">IF(ROW()&lt;5,"NA",IFERROR(B27/INDEX($B:$B,ROW()-3)-1,"NA"))</f>
        <v>1.121464517905868E-2</v>
      </c>
      <c r="F27" s="38">
        <f t="shared" si="0"/>
        <v>-0.70081017905431497</v>
      </c>
    </row>
    <row r="28" spans="1:6">
      <c r="A28" s="9">
        <v>40940</v>
      </c>
      <c r="B28" s="10">
        <v>97.243499999999997</v>
      </c>
      <c r="C28" s="37" cm="1">
        <f t="array" ref="C28">IF(ROW()&lt;14,"",IFERROR(B28/INDEX($B:$B,ROW()-12)-1,""))</f>
        <v>4.4391484499012979E-2</v>
      </c>
      <c r="D28" s="37" cm="1">
        <f t="array" ref="D28">IF(ROW()&lt;3,"NA",IFERROR(B28/INDEX($B:$B,ROW()-1)-1,"NA"))</f>
        <v>3.2156629712849494E-3</v>
      </c>
      <c r="E28" s="37" cm="1">
        <f t="array" ref="E28">IF(ROW()&lt;5,"NA",IFERROR(B28/INDEX($B:$B,ROW()-3)-1,"NA"))</f>
        <v>1.455421837587445E-2</v>
      </c>
      <c r="F28" s="38">
        <f t="shared" si="0"/>
        <v>-0.60876634314665812</v>
      </c>
    </row>
    <row r="29" spans="1:6">
      <c r="A29" s="9">
        <v>40969</v>
      </c>
      <c r="B29" s="10">
        <v>96.74</v>
      </c>
      <c r="C29" s="37" cm="1">
        <f t="array" ref="C29">IF(ROW()&lt;14,"",IFERROR(B29/INDEX($B:$B,ROW()-12)-1,""))</f>
        <v>2.8286925428470555E-2</v>
      </c>
      <c r="D29" s="37" cm="1">
        <f t="array" ref="D29">IF(ROW()&lt;3,"NA",IFERROR(B29/INDEX($B:$B,ROW()-1)-1,"NA"))</f>
        <v>-5.1777239609845926E-3</v>
      </c>
      <c r="E29" s="37" cm="1">
        <f t="array" ref="E29">IF(ROW()&lt;5,"NA",IFERROR(B29/INDEX($B:$B,ROW()-3)-1,"NA"))</f>
        <v>3.9737601069353978E-3</v>
      </c>
      <c r="F29" s="38">
        <f t="shared" si="0"/>
        <v>-0.75744799659389972</v>
      </c>
    </row>
    <row r="30" spans="1:6">
      <c r="A30" s="9">
        <v>41000</v>
      </c>
      <c r="B30" s="10">
        <v>97.435900000000004</v>
      </c>
      <c r="C30" s="37" cm="1">
        <f t="array" ref="C30">IF(ROW()&lt;14,"",IFERROR(B30/INDEX($B:$B,ROW()-12)-1,""))</f>
        <v>3.9040297563633697E-2</v>
      </c>
      <c r="D30" s="37" cm="1">
        <f t="array" ref="D30">IF(ROW()&lt;3,"NA",IFERROR(B30/INDEX($B:$B,ROW()-1)-1,"NA"))</f>
        <v>7.1935083729586236E-3</v>
      </c>
      <c r="E30" s="37" cm="1">
        <f t="array" ref="E30">IF(ROW()&lt;5,"NA",IFERROR(B30/INDEX($B:$B,ROW()-3)-1,"NA"))</f>
        <v>5.2005636952991985E-3</v>
      </c>
      <c r="F30" s="38">
        <f t="shared" si="0"/>
        <v>-0.55195134786711475</v>
      </c>
    </row>
    <row r="31" spans="1:6">
      <c r="A31" s="9">
        <v>41030</v>
      </c>
      <c r="B31" s="10">
        <v>97.660899999999998</v>
      </c>
      <c r="C31" s="37" cm="1">
        <f t="array" ref="C31">IF(ROW()&lt;14,"",IFERROR(B31/INDEX($B:$B,ROW()-12)-1,""))</f>
        <v>4.0185114178595605E-2</v>
      </c>
      <c r="D31" s="37" cm="1">
        <f t="array" ref="D31">IF(ROW()&lt;3,"NA",IFERROR(B31/INDEX($B:$B,ROW()-1)-1,"NA"))</f>
        <v>2.3092104655471068E-3</v>
      </c>
      <c r="E31" s="37" cm="1">
        <f t="array" ref="E31">IF(ROW()&lt;5,"NA",IFERROR(B31/INDEX($B:$B,ROW()-3)-1,"NA"))</f>
        <v>4.2923177384606159E-3</v>
      </c>
      <c r="F31" s="38">
        <f t="shared" si="0"/>
        <v>-0.48550969538324512</v>
      </c>
    </row>
    <row r="32" spans="1:6">
      <c r="A32" s="9">
        <v>41061</v>
      </c>
      <c r="B32" s="10">
        <v>97.666300000000007</v>
      </c>
      <c r="C32" s="37" cm="1">
        <f t="array" ref="C32">IF(ROW()&lt;14,"",IFERROR(B32/INDEX($B:$B,ROW()-12)-1,""))</f>
        <v>3.7105509068513065E-2</v>
      </c>
      <c r="D32" s="37" cm="1">
        <f t="array" ref="D32">IF(ROW()&lt;3,"NA",IFERROR(B32/INDEX($B:$B,ROW()-1)-1,"NA"))</f>
        <v>5.5293367151154627E-5</v>
      </c>
      <c r="E32" s="37" cm="1">
        <f t="array" ref="E32">IF(ROW()&lt;5,"NA",IFERROR(B32/INDEX($B:$B,ROW()-3)-1,"NA"))</f>
        <v>9.575149886293266E-3</v>
      </c>
      <c r="F32" s="38">
        <f t="shared" si="0"/>
        <v>-0.48391509572362962</v>
      </c>
    </row>
    <row r="33" spans="1:6">
      <c r="A33" s="9">
        <v>41091</v>
      </c>
      <c r="B33" s="10">
        <v>97.871300000000005</v>
      </c>
      <c r="C33" s="37" cm="1">
        <f t="array" ref="C33">IF(ROW()&lt;14,"",IFERROR(B33/INDEX($B:$B,ROW()-12)-1,""))</f>
        <v>3.4186778815672891E-2</v>
      </c>
      <c r="D33" s="37" cm="1">
        <f t="array" ref="D33">IF(ROW()&lt;3,"NA",IFERROR(B33/INDEX($B:$B,ROW()-1)-1,"NA"))</f>
        <v>2.098983989359704E-3</v>
      </c>
      <c r="E33" s="37" cm="1">
        <f t="array" ref="E33">IF(ROW()&lt;5,"NA",IFERROR(B33/INDEX($B:$B,ROW()-3)-1,"NA"))</f>
        <v>4.4685788297742501E-3</v>
      </c>
      <c r="F33" s="38">
        <f t="shared" si="0"/>
        <v>-0.42337936790499181</v>
      </c>
    </row>
    <row r="34" spans="1:6">
      <c r="A34" s="9">
        <v>41122</v>
      </c>
      <c r="B34" s="10">
        <v>97.452500000000001</v>
      </c>
      <c r="C34" s="37" cm="1">
        <f t="array" ref="C34">IF(ROW()&lt;14,"",IFERROR(B34/INDEX($B:$B,ROW()-12)-1,""))</f>
        <v>2.2855967311432579E-2</v>
      </c>
      <c r="D34" s="37" cm="1">
        <f t="array" ref="D34">IF(ROW()&lt;3,"NA",IFERROR(B34/INDEX($B:$B,ROW()-1)-1,"NA"))</f>
        <v>-4.2790889668371523E-3</v>
      </c>
      <c r="E34" s="37" cm="1">
        <f t="array" ref="E34">IF(ROW()&lt;5,"NA",IFERROR(B34/INDEX($B:$B,ROW()-3)-1,"NA"))</f>
        <v>-2.1339143915323211E-3</v>
      </c>
      <c r="F34" s="38">
        <f t="shared" si="0"/>
        <v>-0.54704943039497222</v>
      </c>
    </row>
    <row r="35" spans="1:6">
      <c r="A35" s="9">
        <v>41153</v>
      </c>
      <c r="B35" s="10">
        <v>97.381</v>
      </c>
      <c r="C35" s="37" cm="1">
        <f t="array" ref="C35">IF(ROW()&lt;14,"",IFERROR(B35/INDEX($B:$B,ROW()-12)-1,""))</f>
        <v>2.2951570495009843E-2</v>
      </c>
      <c r="D35" s="37" cm="1">
        <f t="array" ref="D35">IF(ROW()&lt;3,"NA",IFERROR(B35/INDEX($B:$B,ROW()-1)-1,"NA"))</f>
        <v>-7.3369077242757541E-4</v>
      </c>
      <c r="E35" s="37" cm="1">
        <f t="array" ref="E35">IF(ROW()&lt;5,"NA",IFERROR(B35/INDEX($B:$B,ROW()-3)-1,"NA"))</f>
        <v>-2.9211713764113467E-3</v>
      </c>
      <c r="F35" s="38">
        <f t="shared" si="0"/>
        <v>-0.56816311107318029</v>
      </c>
    </row>
    <row r="36" spans="1:6">
      <c r="A36" s="9">
        <v>41183</v>
      </c>
      <c r="B36" s="10">
        <v>97.719300000000004</v>
      </c>
      <c r="C36" s="37" cm="1">
        <f t="array" ref="C36">IF(ROW()&lt;14,"",IFERROR(B36/INDEX($B:$B,ROW()-12)-1,""))</f>
        <v>1.9430024786973865E-2</v>
      </c>
      <c r="D36" s="37" cm="1">
        <f t="array" ref="D36">IF(ROW()&lt;3,"NA",IFERROR(B36/INDEX($B:$B,ROW()-1)-1,"NA"))</f>
        <v>3.4739836313038008E-3</v>
      </c>
      <c r="E36" s="37" cm="1">
        <f t="array" ref="E36">IF(ROW()&lt;5,"NA",IFERROR(B36/INDEX($B:$B,ROW()-3)-1,"NA"))</f>
        <v>-1.5530599879638451E-3</v>
      </c>
      <c r="F36" s="38">
        <f t="shared" si="0"/>
        <v>-0.46826439536076297</v>
      </c>
    </row>
    <row r="37" spans="1:6">
      <c r="A37" s="9">
        <v>41214</v>
      </c>
      <c r="B37" s="10">
        <v>98.077699999999993</v>
      </c>
      <c r="C37" s="37" cm="1">
        <f t="array" ref="C37">IF(ROW()&lt;14,"",IFERROR(B37/INDEX($B:$B,ROW()-12)-1,""))</f>
        <v>2.3257536633332743E-2</v>
      </c>
      <c r="D37" s="37" cm="1">
        <f t="array" ref="D37">IF(ROW()&lt;3,"NA",IFERROR(B37/INDEX($B:$B,ROW()-1)-1,"NA"))</f>
        <v>3.6676480490547281E-3</v>
      </c>
      <c r="E37" s="37" cm="1">
        <f t="array" ref="E37">IF(ROW()&lt;5,"NA",IFERROR(B37/INDEX($B:$B,ROW()-3)-1,"NA"))</f>
        <v>6.4154331597443548E-3</v>
      </c>
      <c r="F37" s="38">
        <f t="shared" si="0"/>
        <v>-0.3624302253597908</v>
      </c>
    </row>
    <row r="38" spans="1:6">
      <c r="A38" s="9">
        <v>41244</v>
      </c>
      <c r="B38" s="10">
        <v>98.310100000000006</v>
      </c>
      <c r="C38" s="37" cm="1">
        <f t="array" ref="C38">IF(ROW()&lt;14,"",IFERROR(B38/INDEX($B:$B,ROW()-12)-1,""))</f>
        <v>2.0268355938483085E-2</v>
      </c>
      <c r="D38" s="37" cm="1">
        <f t="array" ref="D38">IF(ROW()&lt;3,"NA",IFERROR(B38/INDEX($B:$B,ROW()-1)-1,"NA"))</f>
        <v>2.3695498568994111E-3</v>
      </c>
      <c r="E38" s="37" cm="1">
        <f t="array" ref="E38">IF(ROW()&lt;5,"NA",IFERROR(B38/INDEX($B:$B,ROW()-3)-1,"NA"))</f>
        <v>9.540875530134274E-3</v>
      </c>
      <c r="F38" s="38">
        <f t="shared" si="0"/>
        <v>-0.29380338074977957</v>
      </c>
    </row>
    <row r="39" spans="1:6">
      <c r="A39" s="9">
        <v>41275</v>
      </c>
      <c r="B39" s="10">
        <v>98.334199999999996</v>
      </c>
      <c r="C39" s="37" cm="1">
        <f t="array" ref="C39">IF(ROW()&lt;14,"",IFERROR(B39/INDEX($B:$B,ROW()-12)-1,""))</f>
        <v>1.4467904237824847E-2</v>
      </c>
      <c r="D39" s="37" cm="1">
        <f t="array" ref="D39">IF(ROW()&lt;3,"NA",IFERROR(B39/INDEX($B:$B,ROW()-1)-1,"NA"))</f>
        <v>2.4514266591113554E-4</v>
      </c>
      <c r="E39" s="37" cm="1">
        <f t="array" ref="E39">IF(ROW()&lt;5,"NA",IFERROR(B39/INDEX($B:$B,ROW()-3)-1,"NA"))</f>
        <v>6.2925133520195242E-3</v>
      </c>
      <c r="F39" s="38">
        <f t="shared" si="0"/>
        <v>-0.28668674152817675</v>
      </c>
    </row>
    <row r="40" spans="1:6">
      <c r="A40" s="9">
        <v>41306</v>
      </c>
      <c r="B40" s="10">
        <v>98.7941</v>
      </c>
      <c r="C40" s="37" cm="1">
        <f t="array" ref="C40">IF(ROW()&lt;14,"",IFERROR(B40/INDEX($B:$B,ROW()-12)-1,""))</f>
        <v>1.5945538776370727E-2</v>
      </c>
      <c r="D40" s="37" cm="1">
        <f t="array" ref="D40">IF(ROW()&lt;3,"NA",IFERROR(B40/INDEX($B:$B,ROW()-1)-1,"NA"))</f>
        <v>4.6769079323369933E-3</v>
      </c>
      <c r="E40" s="37" cm="1">
        <f t="array" ref="E40">IF(ROW()&lt;5,"NA",IFERROR(B40/INDEX($B:$B,ROW()-3)-1,"NA"))</f>
        <v>7.3044127258286018E-3</v>
      </c>
      <c r="F40" s="38">
        <f t="shared" si="0"/>
        <v>-0.15088000385114247</v>
      </c>
    </row>
    <row r="41" spans="1:6">
      <c r="A41" s="9">
        <v>41334</v>
      </c>
      <c r="B41" s="10">
        <v>99.192099999999996</v>
      </c>
      <c r="C41" s="37" cm="1">
        <f t="array" ref="C41">IF(ROW()&lt;14,"",IFERROR(B41/INDEX($B:$B,ROW()-12)-1,""))</f>
        <v>2.5347322720694621E-2</v>
      </c>
      <c r="D41" s="37" cm="1">
        <f t="array" ref="D41">IF(ROW()&lt;3,"NA",IFERROR(B41/INDEX($B:$B,ROW()-1)-1,"NA"))</f>
        <v>4.0285806541078273E-3</v>
      </c>
      <c r="E41" s="37" cm="1">
        <f t="array" ref="E41">IF(ROW()&lt;5,"NA",IFERROR(B41/INDEX($B:$B,ROW()-3)-1,"NA"))</f>
        <v>8.9716112586599728E-3</v>
      </c>
      <c r="F41" s="38">
        <f t="shared" si="0"/>
        <v>-3.335210301300684E-2</v>
      </c>
    </row>
    <row r="42" spans="1:6">
      <c r="A42" s="9">
        <v>41365</v>
      </c>
      <c r="B42" s="10">
        <v>99.106499999999997</v>
      </c>
      <c r="C42" s="37" cm="1">
        <f t="array" ref="C42">IF(ROW()&lt;14,"",IFERROR(B42/INDEX($B:$B,ROW()-12)-1,""))</f>
        <v>1.7145631127746475E-2</v>
      </c>
      <c r="D42" s="37" cm="1">
        <f t="array" ref="D42">IF(ROW()&lt;3,"NA",IFERROR(B42/INDEX($B:$B,ROW()-1)-1,"NA"))</f>
        <v>-8.6297195038720353E-4</v>
      </c>
      <c r="E42" s="37" cm="1">
        <f t="array" ref="E42">IF(ROW()&lt;5,"NA",IFERROR(B42/INDEX($B:$B,ROW()-3)-1,"NA"))</f>
        <v>7.85382908489618E-3</v>
      </c>
      <c r="F42" s="38">
        <f t="shared" si="0"/>
        <v>-5.8629460580203935E-2</v>
      </c>
    </row>
    <row r="43" spans="1:6">
      <c r="A43" s="9">
        <v>41395</v>
      </c>
      <c r="B43" s="10">
        <v>99.183899999999994</v>
      </c>
      <c r="C43" s="37" cm="1">
        <f t="array" ref="C43">IF(ROW()&lt;14,"",IFERROR(B43/INDEX($B:$B,ROW()-12)-1,""))</f>
        <v>1.5594777439077445E-2</v>
      </c>
      <c r="D43" s="37" cm="1">
        <f t="array" ref="D43">IF(ROW()&lt;3,"NA",IFERROR(B43/INDEX($B:$B,ROW()-1)-1,"NA"))</f>
        <v>7.8097803877641425E-4</v>
      </c>
      <c r="E43" s="37" cm="1">
        <f t="array" ref="E43">IF(ROW()&lt;5,"NA",IFERROR(B43/INDEX($B:$B,ROW()-3)-1,"NA"))</f>
        <v>3.9455797461589448E-3</v>
      </c>
      <c r="F43" s="38">
        <f t="shared" si="0"/>
        <v>-3.5773532125753023E-2</v>
      </c>
    </row>
    <row r="44" spans="1:6">
      <c r="A44" s="9">
        <v>41426</v>
      </c>
      <c r="B44" s="10">
        <v>99.389700000000005</v>
      </c>
      <c r="C44" s="37" cm="1">
        <f t="array" ref="C44">IF(ROW()&lt;14,"",IFERROR(B44/INDEX($B:$B,ROW()-12)-1,""))</f>
        <v>1.7645800035426706E-2</v>
      </c>
      <c r="D44" s="37" cm="1">
        <f t="array" ref="D44">IF(ROW()&lt;3,"NA",IFERROR(B44/INDEX($B:$B,ROW()-1)-1,"NA"))</f>
        <v>2.0749335325593865E-3</v>
      </c>
      <c r="E44" s="37" cm="1">
        <f t="array" ref="E44">IF(ROW()&lt;5,"NA",IFERROR(B44/INDEX($B:$B,ROW()-3)-1,"NA"))</f>
        <v>1.992094128463906E-3</v>
      </c>
      <c r="F44" s="38">
        <f t="shared" si="0"/>
        <v>2.499843267949773E-2</v>
      </c>
    </row>
    <row r="45" spans="1:6">
      <c r="A45" s="9">
        <v>41456</v>
      </c>
      <c r="B45" s="10">
        <v>99.081400000000002</v>
      </c>
      <c r="C45" s="37" cm="1">
        <f t="array" ref="C45">IF(ROW()&lt;14,"",IFERROR(B45/INDEX($B:$B,ROW()-12)-1,""))</f>
        <v>1.2364196654177428E-2</v>
      </c>
      <c r="D45" s="37" cm="1">
        <f t="array" ref="D45">IF(ROW()&lt;3,"NA",IFERROR(B45/INDEX($B:$B,ROW()-1)-1,"NA"))</f>
        <v>-3.1019310854143445E-3</v>
      </c>
      <c r="E45" s="37" cm="1">
        <f t="array" ref="E45">IF(ROW()&lt;5,"NA",IFERROR(B45/INDEX($B:$B,ROW()-3)-1,"NA"))</f>
        <v>-2.5326290404759089E-4</v>
      </c>
      <c r="F45" s="38">
        <f t="shared" si="0"/>
        <v>-6.604139603506981E-2</v>
      </c>
    </row>
    <row r="46" spans="1:6">
      <c r="A46" s="9">
        <v>41487</v>
      </c>
      <c r="B46" s="10">
        <v>99.654300000000006</v>
      </c>
      <c r="C46" s="37" cm="1">
        <f t="array" ref="C46">IF(ROW()&lt;14,"",IFERROR(B46/INDEX($B:$B,ROW()-12)-1,""))</f>
        <v>2.2593571227008002E-2</v>
      </c>
      <c r="D46" s="37" cm="1">
        <f t="array" ref="D46">IF(ROW()&lt;3,"NA",IFERROR(B46/INDEX($B:$B,ROW()-1)-1,"NA"))</f>
        <v>5.7821145038321475E-3</v>
      </c>
      <c r="E46" s="37" cm="1">
        <f t="array" ref="E46">IF(ROW()&lt;5,"NA",IFERROR(B46/INDEX($B:$B,ROW()-3)-1,"NA"))</f>
        <v>4.7427052172783757E-3</v>
      </c>
      <c r="F46" s="38">
        <f t="shared" si="0"/>
        <v>0.10313381600053081</v>
      </c>
    </row>
    <row r="47" spans="1:6">
      <c r="A47" s="9">
        <v>41518</v>
      </c>
      <c r="B47" s="10">
        <v>100.161</v>
      </c>
      <c r="C47" s="37" cm="1">
        <f t="array" ref="C47">IF(ROW()&lt;14,"",IFERROR(B47/INDEX($B:$B,ROW()-12)-1,""))</f>
        <v>2.8547663301876192E-2</v>
      </c>
      <c r="D47" s="37" cm="1">
        <f t="array" ref="D47">IF(ROW()&lt;3,"NA",IFERROR(B47/INDEX($B:$B,ROW()-1)-1,"NA"))</f>
        <v>5.0845773840164643E-3</v>
      </c>
      <c r="E47" s="37" cm="1">
        <f t="array" ref="E47">IF(ROW()&lt;5,"NA",IFERROR(B47/INDEX($B:$B,ROW()-3)-1,"NA"))</f>
        <v>7.7603614861498915E-3</v>
      </c>
      <c r="F47" s="38">
        <f t="shared" si="0"/>
        <v>0.25276041739420751</v>
      </c>
    </row>
    <row r="48" spans="1:6">
      <c r="A48" s="9">
        <v>41548</v>
      </c>
      <c r="B48" s="10">
        <v>100.08199999999999</v>
      </c>
      <c r="C48" s="37" cm="1">
        <f t="array" ref="C48">IF(ROW()&lt;14,"",IFERROR(B48/INDEX($B:$B,ROW()-12)-1,""))</f>
        <v>2.4178437626957816E-2</v>
      </c>
      <c r="D48" s="37" cm="1">
        <f t="array" ref="D48">IF(ROW()&lt;3,"NA",IFERROR(B48/INDEX($B:$B,ROW()-1)-1,"NA"))</f>
        <v>-7.8873014446745326E-4</v>
      </c>
      <c r="E48" s="37" cm="1">
        <f t="array" ref="E48">IF(ROW()&lt;5,"NA",IFERROR(B48/INDEX($B:$B,ROW()-3)-1,"NA"))</f>
        <v>1.0098767276199183E-2</v>
      </c>
      <c r="F48" s="38">
        <f t="shared" si="0"/>
        <v>0.22943201496653484</v>
      </c>
    </row>
    <row r="49" spans="1:6">
      <c r="A49" s="9">
        <v>41579</v>
      </c>
      <c r="B49" s="10">
        <v>100.3158</v>
      </c>
      <c r="C49" s="37" cm="1">
        <f t="array" ref="C49">IF(ROW()&lt;14,"",IFERROR(B49/INDEX($B:$B,ROW()-12)-1,""))</f>
        <v>2.2819662369733429E-2</v>
      </c>
      <c r="D49" s="37" cm="1">
        <f t="array" ref="D49">IF(ROW()&lt;3,"NA",IFERROR(B49/INDEX($B:$B,ROW()-1)-1,"NA"))</f>
        <v>2.3360844107831458E-3</v>
      </c>
      <c r="E49" s="37" cm="1">
        <f t="array" ref="E49">IF(ROW()&lt;5,"NA",IFERROR(B49/INDEX($B:$B,ROW()-3)-1,"NA"))</f>
        <v>6.6379473841067238E-3</v>
      </c>
      <c r="F49" s="38">
        <f t="shared" si="0"/>
        <v>0.2984722743031093</v>
      </c>
    </row>
    <row r="50" spans="1:6">
      <c r="A50" s="9">
        <v>41609</v>
      </c>
      <c r="B50" s="10">
        <v>100.5175</v>
      </c>
      <c r="C50" s="37" cm="1">
        <f t="array" ref="C50">IF(ROW()&lt;14,"",IFERROR(B50/INDEX($B:$B,ROW()-12)-1,""))</f>
        <v>2.245344069429267E-2</v>
      </c>
      <c r="D50" s="37" cm="1">
        <f t="array" ref="D50">IF(ROW()&lt;3,"NA",IFERROR(B50/INDEX($B:$B,ROW()-1)-1,"NA"))</f>
        <v>2.0106503661436737E-3</v>
      </c>
      <c r="E50" s="37" cm="1">
        <f t="array" ref="E50">IF(ROW()&lt;5,"NA",IFERROR(B50/INDEX($B:$B,ROW()-3)-1,"NA"))</f>
        <v>3.5592695759827375E-3</v>
      </c>
      <c r="F50" s="38">
        <f t="shared" si="0"/>
        <v>0.35803352455198489</v>
      </c>
    </row>
    <row r="51" spans="1:6">
      <c r="A51" s="9">
        <v>41640</v>
      </c>
      <c r="B51" s="10">
        <v>100.15989999999999</v>
      </c>
      <c r="C51" s="37" cm="1">
        <f t="array" ref="C51">IF(ROW()&lt;14,"",IFERROR(B51/INDEX($B:$B,ROW()-12)-1,""))</f>
        <v>1.8566277042981971E-2</v>
      </c>
      <c r="D51" s="37" cm="1">
        <f t="array" ref="D51">IF(ROW()&lt;3,"NA",IFERROR(B51/INDEX($B:$B,ROW()-1)-1,"NA"))</f>
        <v>-3.5575894744697134E-3</v>
      </c>
      <c r="E51" s="37" cm="1">
        <f t="array" ref="E51">IF(ROW()&lt;5,"NA",IFERROR(B51/INDEX($B:$B,ROW()-3)-1,"NA"))</f>
        <v>7.7836174337053698E-4</v>
      </c>
      <c r="F51" s="38">
        <f t="shared" si="0"/>
        <v>0.2524355915376173</v>
      </c>
    </row>
    <row r="52" spans="1:6">
      <c r="A52" s="9">
        <v>41671</v>
      </c>
      <c r="B52" s="10">
        <v>100.91679999999999</v>
      </c>
      <c r="C52" s="37" cm="1">
        <f t="array" ref="C52">IF(ROW()&lt;14,"",IFERROR(B52/INDEX($B:$B,ROW()-12)-1,""))</f>
        <v>2.1486100890640181E-2</v>
      </c>
      <c r="D52" s="37" cm="1">
        <f t="array" ref="D52">IF(ROW()&lt;3,"NA",IFERROR(B52/INDEX($B:$B,ROW()-1)-1,"NA"))</f>
        <v>7.5569164905315844E-3</v>
      </c>
      <c r="E52" s="37" cm="1">
        <f t="array" ref="E52">IF(ROW()&lt;5,"NA",IFERROR(B52/INDEX($B:$B,ROW()-3)-1,"NA"))</f>
        <v>5.9910801688267679E-3</v>
      </c>
      <c r="F52" s="38">
        <f t="shared" si="0"/>
        <v>0.47594531049336081</v>
      </c>
    </row>
    <row r="53" spans="1:6">
      <c r="A53" s="9">
        <v>41699</v>
      </c>
      <c r="B53" s="10">
        <v>101.8942</v>
      </c>
      <c r="C53" s="37" cm="1">
        <f t="array" ref="C53">IF(ROW()&lt;14,"",IFERROR(B53/INDEX($B:$B,ROW()-12)-1,""))</f>
        <v>2.7241080690901809E-2</v>
      </c>
      <c r="D53" s="37" cm="1">
        <f t="array" ref="D53">IF(ROW()&lt;3,"NA",IFERROR(B53/INDEX($B:$B,ROW()-1)-1,"NA"))</f>
        <v>9.6852060311067856E-3</v>
      </c>
      <c r="E53" s="37" cm="1">
        <f t="array" ref="E53">IF(ROW()&lt;5,"NA",IFERROR(B53/INDEX($B:$B,ROW()-3)-1,"NA"))</f>
        <v>1.3696122565722391E-2</v>
      </c>
      <c r="F53" s="38">
        <f t="shared" si="0"/>
        <v>0.76456784888329854</v>
      </c>
    </row>
    <row r="54" spans="1:6">
      <c r="A54" s="9">
        <v>41730</v>
      </c>
      <c r="B54" s="10">
        <v>101.9928</v>
      </c>
      <c r="C54" s="37" cm="1">
        <f t="array" ref="C54">IF(ROW()&lt;14,"",IFERROR(B54/INDEX($B:$B,ROW()-12)-1,""))</f>
        <v>2.9123215934373725E-2</v>
      </c>
      <c r="D54" s="37" cm="1">
        <f t="array" ref="D54">IF(ROW()&lt;3,"NA",IFERROR(B54/INDEX($B:$B,ROW()-1)-1,"NA"))</f>
        <v>9.6767038751965906E-4</v>
      </c>
      <c r="E54" s="37" cm="1">
        <f t="array" ref="E54">IF(ROW()&lt;5,"NA",IFERROR(B54/INDEX($B:$B,ROW()-3)-1,"NA"))</f>
        <v>1.8299738717790337E-2</v>
      </c>
      <c r="F54" s="38">
        <f t="shared" si="0"/>
        <v>0.79368405748289861</v>
      </c>
    </row>
    <row r="55" spans="1:6">
      <c r="A55" s="9">
        <v>41760</v>
      </c>
      <c r="B55" s="10">
        <v>102.3836</v>
      </c>
      <c r="C55" s="37" cm="1">
        <f t="array" ref="C55">IF(ROW()&lt;14,"",IFERROR(B55/INDEX($B:$B,ROW()-12)-1,""))</f>
        <v>3.2260276113361241E-2</v>
      </c>
      <c r="D55" s="37" cm="1">
        <f t="array" ref="D55">IF(ROW()&lt;3,"NA",IFERROR(B55/INDEX($B:$B,ROW()-1)-1,"NA"))</f>
        <v>3.8316430179385907E-3</v>
      </c>
      <c r="E55" s="37" cm="1">
        <f t="array" ref="E55">IF(ROW()&lt;5,"NA",IFERROR(B55/INDEX($B:$B,ROW()-3)-1,"NA"))</f>
        <v>1.4534745453680609E-2</v>
      </c>
      <c r="F55" s="38">
        <f t="shared" si="0"/>
        <v>0.90908582544155114</v>
      </c>
    </row>
    <row r="56" spans="1:6">
      <c r="A56" s="9">
        <v>41791</v>
      </c>
      <c r="B56" s="10">
        <v>102.735</v>
      </c>
      <c r="C56" s="37" cm="1">
        <f t="array" ref="C56">IF(ROW()&lt;14,"",IFERROR(B56/INDEX($B:$B,ROW()-12)-1,""))</f>
        <v>3.3658417320909351E-2</v>
      </c>
      <c r="D56" s="37" cm="1">
        <f t="array" ref="D56">IF(ROW()&lt;3,"NA",IFERROR(B56/INDEX($B:$B,ROW()-1)-1,"NA"))</f>
        <v>3.4321903117295882E-3</v>
      </c>
      <c r="E56" s="37" cm="1">
        <f t="array" ref="E56">IF(ROW()&lt;5,"NA",IFERROR(B56/INDEX($B:$B,ROW()-3)-1,"NA"))</f>
        <v>8.2516963674086341E-3</v>
      </c>
      <c r="F56" s="38">
        <f t="shared" si="0"/>
        <v>1.0128529218096944</v>
      </c>
    </row>
    <row r="57" spans="1:6">
      <c r="A57" s="9">
        <v>41821</v>
      </c>
      <c r="B57" s="10">
        <v>102.9632</v>
      </c>
      <c r="C57" s="37" cm="1">
        <f t="array" ref="C57">IF(ROW()&lt;14,"",IFERROR(B57/INDEX($B:$B,ROW()-12)-1,""))</f>
        <v>3.9177888079901857E-2</v>
      </c>
      <c r="D57" s="37" cm="1">
        <f t="array" ref="D57">IF(ROW()&lt;3,"NA",IFERROR(B57/INDEX($B:$B,ROW()-1)-1,"NA"))</f>
        <v>2.2212488441135658E-3</v>
      </c>
      <c r="E57" s="37" cm="1">
        <f t="array" ref="E57">IF(ROW()&lt;5,"NA",IFERROR(B57/INDEX($B:$B,ROW()-3)-1,"NA"))</f>
        <v>9.5143970946969247E-3</v>
      </c>
      <c r="F57" s="38">
        <f t="shared" si="0"/>
        <v>1.0802395222400034</v>
      </c>
    </row>
    <row r="58" spans="1:6">
      <c r="A58" s="9">
        <v>41852</v>
      </c>
      <c r="B58" s="10">
        <v>102.7688</v>
      </c>
      <c r="C58" s="37" cm="1">
        <f t="array" ref="C58">IF(ROW()&lt;14,"",IFERROR(B58/INDEX($B:$B,ROW()-12)-1,""))</f>
        <v>3.1253041765382905E-2</v>
      </c>
      <c r="D58" s="37" cm="1">
        <f t="array" ref="D58">IF(ROW()&lt;3,"NA",IFERROR(B58/INDEX($B:$B,ROW()-1)-1,"NA"))</f>
        <v>-1.8880532073595191E-3</v>
      </c>
      <c r="E58" s="37" cm="1">
        <f t="array" ref="E58">IF(ROW()&lt;5,"NA",IFERROR(B58/INDEX($B:$B,ROW()-3)-1,"NA"))</f>
        <v>3.7623213092721208E-3</v>
      </c>
      <c r="F58" s="38">
        <f t="shared" si="0"/>
        <v>1.0228339344939381</v>
      </c>
    </row>
    <row r="59" spans="1:6">
      <c r="A59" s="9">
        <v>41883</v>
      </c>
      <c r="B59" s="10">
        <v>103.0641</v>
      </c>
      <c r="C59" s="37" cm="1">
        <f t="array" ref="C59">IF(ROW()&lt;14,"",IFERROR(B59/INDEX($B:$B,ROW()-12)-1,""))</f>
        <v>2.8984335220295199E-2</v>
      </c>
      <c r="D59" s="37" cm="1">
        <f t="array" ref="D59">IF(ROW()&lt;3,"NA",IFERROR(B59/INDEX($B:$B,ROW()-1)-1,"NA"))</f>
        <v>2.8734401880725624E-3</v>
      </c>
      <c r="E59" s="37" cm="1">
        <f t="array" ref="E59">IF(ROW()&lt;5,"NA",IFERROR(B59/INDEX($B:$B,ROW()-3)-1,"NA"))</f>
        <v>3.2033873558183767E-3</v>
      </c>
      <c r="F59" s="38">
        <f t="shared" si="0"/>
        <v>1.1100349121761026</v>
      </c>
    </row>
    <row r="60" spans="1:6">
      <c r="A60" s="9">
        <v>41913</v>
      </c>
      <c r="B60" s="10">
        <v>103.07640000000001</v>
      </c>
      <c r="C60" s="37" cm="1">
        <f t="array" ref="C60">IF(ROW()&lt;14,"",IFERROR(B60/INDEX($B:$B,ROW()-12)-1,""))</f>
        <v>2.9919466037849007E-2</v>
      </c>
      <c r="D60" s="37" cm="1">
        <f t="array" ref="D60">IF(ROW()&lt;3,"NA",IFERROR(B60/INDEX($B:$B,ROW()-1)-1,"NA"))</f>
        <v>1.1934320486006733E-4</v>
      </c>
      <c r="E60" s="37" cm="1">
        <f t="array" ref="E60">IF(ROW()&lt;5,"NA",IFERROR(B60/INDEX($B:$B,ROW()-3)-1,"NA"))</f>
        <v>1.0994219293884999E-3</v>
      </c>
      <c r="F60" s="38">
        <f t="shared" si="0"/>
        <v>1.113667055845224</v>
      </c>
    </row>
    <row r="61" spans="1:6">
      <c r="A61" s="9">
        <v>41944</v>
      </c>
      <c r="B61" s="10">
        <v>103.71259999999999</v>
      </c>
      <c r="C61" s="37" cm="1">
        <f t="array" ref="C61">IF(ROW()&lt;14,"",IFERROR(B61/INDEX($B:$B,ROW()-12)-1,""))</f>
        <v>3.3861066751199598E-2</v>
      </c>
      <c r="D61" s="37" cm="1">
        <f t="array" ref="D61">IF(ROW()&lt;3,"NA",IFERROR(B61/INDEX($B:$B,ROW()-1)-1,"NA"))</f>
        <v>6.172120873449094E-3</v>
      </c>
      <c r="E61" s="37" cm="1">
        <f t="array" ref="E61">IF(ROW()&lt;5,"NA",IFERROR(B61/INDEX($B:$B,ROW()-3)-1,"NA"))</f>
        <v>9.1837211293699372E-3</v>
      </c>
      <c r="F61" s="38">
        <f t="shared" si="0"/>
        <v>1.3015345194462824</v>
      </c>
    </row>
    <row r="62" spans="1:6">
      <c r="A62" s="9">
        <v>41974</v>
      </c>
      <c r="B62" s="10">
        <v>103.70440000000001</v>
      </c>
      <c r="C62" s="37" cm="1">
        <f t="array" ref="C62">IF(ROW()&lt;14,"",IFERROR(B62/INDEX($B:$B,ROW()-12)-1,""))</f>
        <v>3.170492700276073E-2</v>
      </c>
      <c r="D62" s="37" cm="1">
        <f t="array" ref="D62">IF(ROW()&lt;3,"NA",IFERROR(B62/INDEX($B:$B,ROW()-1)-1,"NA"))</f>
        <v>-7.90646459541966E-5</v>
      </c>
      <c r="E62" s="37" cm="1">
        <f t="array" ref="E62">IF(ROW()&lt;5,"NA",IFERROR(B62/INDEX($B:$B,ROW()-3)-1,"NA"))</f>
        <v>6.2126385424217112E-3</v>
      </c>
      <c r="F62" s="38">
        <f t="shared" si="0"/>
        <v>1.2991130903335404</v>
      </c>
    </row>
    <row r="63" spans="1:6">
      <c r="A63" s="9">
        <v>42005</v>
      </c>
      <c r="B63" s="10">
        <v>102.8905</v>
      </c>
      <c r="C63" s="37" cm="1">
        <f t="array" ref="C63">IF(ROW()&lt;14,"",IFERROR(B63/INDEX($B:$B,ROW()-12)-1,""))</f>
        <v>2.7262407410550527E-2</v>
      </c>
      <c r="D63" s="37" cm="1">
        <f t="array" ref="D63">IF(ROW()&lt;3,"NA",IFERROR(B63/INDEX($B:$B,ROW()-1)-1,"NA"))</f>
        <v>-7.8482687330527767E-3</v>
      </c>
      <c r="E63" s="37" cm="1">
        <f t="array" ref="E63">IF(ROW()&lt;5,"NA",IFERROR(B63/INDEX($B:$B,ROW()-3)-1,"NA"))</f>
        <v>-1.8035166148604453E-3</v>
      </c>
      <c r="F63" s="38">
        <f t="shared" si="0"/>
        <v>1.0587714860818822</v>
      </c>
    </row>
    <row r="64" spans="1:6">
      <c r="A64" s="9">
        <v>42036</v>
      </c>
      <c r="B64" s="10">
        <v>102.23350000000001</v>
      </c>
      <c r="C64" s="37" cm="1">
        <f t="array" ref="C64">IF(ROW()&lt;14,"",IFERROR(B64/INDEX($B:$B,ROW()-12)-1,""))</f>
        <v>1.3047381605441499E-2</v>
      </c>
      <c r="D64" s="37" cm="1">
        <f t="array" ref="D64">IF(ROW()&lt;3,"NA",IFERROR(B64/INDEX($B:$B,ROW()-1)-1,"NA"))</f>
        <v>-6.3854291698455246E-3</v>
      </c>
      <c r="E64" s="37" cm="1">
        <f t="array" ref="E64">IF(ROW()&lt;5,"NA",IFERROR(B64/INDEX($B:$B,ROW()-3)-1,"NA"))</f>
        <v>-1.4261526564756766E-2</v>
      </c>
      <c r="F64" s="38">
        <f t="shared" si="0"/>
        <v>0.86476186082897899</v>
      </c>
    </row>
    <row r="65" spans="1:6">
      <c r="A65" s="9">
        <v>42064</v>
      </c>
      <c r="B65" s="10">
        <v>101.8914</v>
      </c>
      <c r="C65" s="37" cm="1">
        <f t="array" ref="C65">IF(ROW()&lt;14,"",IFERROR(B65/INDEX($B:$B,ROW()-12)-1,""))</f>
        <v>-2.7479483621140055E-5</v>
      </c>
      <c r="D65" s="37" cm="1">
        <f t="array" ref="D65">IF(ROW()&lt;3,"NA",IFERROR(B65/INDEX($B:$B,ROW()-1)-1,"NA"))</f>
        <v>-3.3462612548724735E-3</v>
      </c>
      <c r="E65" s="37" cm="1">
        <f t="array" ref="E65">IF(ROW()&lt;5,"NA",IFERROR(B65/INDEX($B:$B,ROW()-3)-1,"NA"))</f>
        <v>-1.7482382618288161E-2</v>
      </c>
      <c r="F65" s="38">
        <f t="shared" si="0"/>
        <v>0.76374101943016781</v>
      </c>
    </row>
    <row r="66" spans="1:6">
      <c r="A66" s="9">
        <v>42095</v>
      </c>
      <c r="B66" s="10">
        <v>101.3355</v>
      </c>
      <c r="C66" s="37" cm="1">
        <f t="array" ref="C66">IF(ROW()&lt;14,"",IFERROR(B66/INDEX($B:$B,ROW()-12)-1,""))</f>
        <v>-6.4445725580629665E-3</v>
      </c>
      <c r="D66" s="37" cm="1">
        <f t="array" ref="D66">IF(ROW()&lt;3,"NA",IFERROR(B66/INDEX($B:$B,ROW()-1)-1,"NA"))</f>
        <v>-5.4558088317562259E-3</v>
      </c>
      <c r="E66" s="37" cm="1">
        <f t="array" ref="E66">IF(ROW()&lt;5,"NA",IFERROR(B66/INDEX($B:$B,ROW()-3)-1,"NA"))</f>
        <v>-1.5113154275662066E-2</v>
      </c>
      <c r="F66" s="38">
        <f t="shared" si="0"/>
        <v>0.59958584336001408</v>
      </c>
    </row>
    <row r="67" spans="1:6">
      <c r="A67" s="9">
        <v>42125</v>
      </c>
      <c r="B67" s="10">
        <v>100.8883</v>
      </c>
      <c r="C67" s="37" cm="1">
        <f t="array" ref="C67">IF(ROW()&lt;14,"",IFERROR(B67/INDEX($B:$B,ROW()-12)-1,""))</f>
        <v>-1.4604878125012211E-2</v>
      </c>
      <c r="D67" s="37" cm="1">
        <f t="array" ref="D67">IF(ROW()&lt;3,"NA",IFERROR(B67/INDEX($B:$B,ROW()-1)-1,"NA"))</f>
        <v>-4.4130635364704185E-3</v>
      </c>
      <c r="E67" s="37" cm="1">
        <f t="array" ref="E67">IF(ROW()&lt;5,"NA",IFERROR(B67/INDEX($B:$B,ROW()-3)-1,"NA"))</f>
        <v>-1.3158113534213367E-2</v>
      </c>
      <c r="F67" s="38">
        <f t="shared" si="0"/>
        <v>0.46752936784540555</v>
      </c>
    </row>
    <row r="68" spans="1:6">
      <c r="A68" s="9">
        <v>42156</v>
      </c>
      <c r="B68" s="10">
        <v>100.571</v>
      </c>
      <c r="C68" s="37" cm="1">
        <f t="array" ref="C68">IF(ROW()&lt;14,"",IFERROR(B68/INDEX($B:$B,ROW()-12)-1,""))</f>
        <v>-2.1063902272837942E-2</v>
      </c>
      <c r="D68" s="37" cm="1">
        <f t="array" ref="D68">IF(ROW()&lt;3,"NA",IFERROR(B68/INDEX($B:$B,ROW()-1)-1,"NA"))</f>
        <v>-3.145062410606636E-3</v>
      </c>
      <c r="E68" s="37" cm="1">
        <f t="array" ref="E68">IF(ROW()&lt;5,"NA",IFERROR(B68/INDEX($B:$B,ROW()-3)-1,"NA"))</f>
        <v>-1.2958895451431696E-2</v>
      </c>
      <c r="F68" s="38">
        <f t="shared" ref="F68:F131" si="1">IFERROR((B68-AVERAGE($B:$B))/_xlfn.STDEV.S($B:$B),"")</f>
        <v>0.37383187303148308</v>
      </c>
    </row>
    <row r="69" spans="1:6">
      <c r="A69" s="9">
        <v>42186</v>
      </c>
      <c r="B69" s="10">
        <v>101.22280000000001</v>
      </c>
      <c r="C69" s="37" cm="1">
        <f t="array" ref="C69">IF(ROW()&lt;14,"",IFERROR(B69/INDEX($B:$B,ROW()-12)-1,""))</f>
        <v>-1.6903126553953207E-2</v>
      </c>
      <c r="D69" s="37" cm="1">
        <f t="array" ref="D69">IF(ROW()&lt;3,"NA",IFERROR(B69/INDEX($B:$B,ROW()-1)-1,"NA"))</f>
        <v>6.4809935269611874E-3</v>
      </c>
      <c r="E69" s="37" cm="1">
        <f t="array" ref="E69">IF(ROW()&lt;5,"NA",IFERROR(B69/INDEX($B:$B,ROW()-3)-1,"NA"))</f>
        <v>-1.1121472731667748E-3</v>
      </c>
      <c r="F69" s="38">
        <f t="shared" si="1"/>
        <v>0.56630595787142923</v>
      </c>
    </row>
    <row r="70" spans="1:6">
      <c r="A70" s="9">
        <v>42217</v>
      </c>
      <c r="B70" s="10">
        <v>101.0367</v>
      </c>
      <c r="C70" s="37" cm="1">
        <f t="array" ref="C70">IF(ROW()&lt;14,"",IFERROR(B70/INDEX($B:$B,ROW()-12)-1,""))</f>
        <v>-1.6854337113987983E-2</v>
      </c>
      <c r="D70" s="37" cm="1">
        <f t="array" ref="D70">IF(ROW()&lt;3,"NA",IFERROR(B70/INDEX($B:$B,ROW()-1)-1,"NA"))</f>
        <v>-1.8385185946250271E-3</v>
      </c>
      <c r="E70" s="37" cm="1">
        <f t="array" ref="E70">IF(ROW()&lt;5,"NA",IFERROR(B70/INDEX($B:$B,ROW()-3)-1,"NA"))</f>
        <v>1.4709336959786157E-3</v>
      </c>
      <c r="F70" s="38">
        <f t="shared" si="1"/>
        <v>0.51135132886143297</v>
      </c>
    </row>
    <row r="71" spans="1:6">
      <c r="A71" s="9">
        <v>42248</v>
      </c>
      <c r="B71" s="10">
        <v>100.7547</v>
      </c>
      <c r="C71" s="37" cm="1">
        <f t="array" ref="C71">IF(ROW()&lt;14,"",IFERROR(B71/INDEX($B:$B,ROW()-12)-1,""))</f>
        <v>-2.2407414414912674E-2</v>
      </c>
      <c r="D71" s="37" cm="1">
        <f t="array" ref="D71">IF(ROW()&lt;3,"NA",IFERROR(B71/INDEX($B:$B,ROW()-1)-1,"NA"))</f>
        <v>-2.7910650288459626E-3</v>
      </c>
      <c r="E71" s="37" cm="1">
        <f t="array" ref="E71">IF(ROW()&lt;5,"NA",IFERROR(B71/INDEX($B:$B,ROW()-3)-1,"NA"))</f>
        <v>1.8265702836801623E-3</v>
      </c>
      <c r="F71" s="38">
        <f t="shared" si="1"/>
        <v>0.42807779108164873</v>
      </c>
    </row>
    <row r="72" spans="1:6">
      <c r="A72" s="9">
        <v>42278</v>
      </c>
      <c r="B72" s="10">
        <v>100.2675</v>
      </c>
      <c r="C72" s="37" cm="1">
        <f t="array" ref="C72">IF(ROW()&lt;14,"",IFERROR(B72/INDEX($B:$B,ROW()-12)-1,""))</f>
        <v>-2.7250660674994598E-2</v>
      </c>
      <c r="D72" s="37" cm="1">
        <f t="array" ref="D72">IF(ROW()&lt;3,"NA",IFERROR(B72/INDEX($B:$B,ROW()-1)-1,"NA"))</f>
        <v>-4.8355064329504982E-3</v>
      </c>
      <c r="E72" s="37" cm="1">
        <f t="array" ref="E72">IF(ROW()&lt;5,"NA",IFERROR(B72/INDEX($B:$B,ROW()-3)-1,"NA"))</f>
        <v>-9.4375970631123129E-3</v>
      </c>
      <c r="F72" s="38">
        <f t="shared" si="1"/>
        <v>0.28420946623657234</v>
      </c>
    </row>
    <row r="73" spans="1:6">
      <c r="A73" s="9">
        <v>42309</v>
      </c>
      <c r="B73" s="10">
        <v>99.529799999999994</v>
      </c>
      <c r="C73" s="37" cm="1">
        <f t="array" ref="C73">IF(ROW()&lt;14,"",IFERROR(B73/INDEX($B:$B,ROW()-12)-1,""))</f>
        <v>-4.0330683060688877E-2</v>
      </c>
      <c r="D73" s="37" cm="1">
        <f t="array" ref="D73">IF(ROW()&lt;3,"NA",IFERROR(B73/INDEX($B:$B,ROW()-1)-1,"NA"))</f>
        <v>-7.3573191712170694E-3</v>
      </c>
      <c r="E73" s="37" cm="1">
        <f t="array" ref="E73">IF(ROW()&lt;5,"NA",IFERROR(B73/INDEX($B:$B,ROW()-3)-1,"NA"))</f>
        <v>-1.4914382595631159E-2</v>
      </c>
      <c r="F73" s="38">
        <f t="shared" si="1"/>
        <v>6.636943495945187E-2</v>
      </c>
    </row>
    <row r="74" spans="1:6">
      <c r="A74" s="9">
        <v>42339</v>
      </c>
      <c r="B74" s="10">
        <v>99.041700000000006</v>
      </c>
      <c r="C74" s="37" cm="1">
        <f t="array" ref="C74">IF(ROW()&lt;14,"",IFERROR(B74/INDEX($B:$B,ROW()-12)-1,""))</f>
        <v>-4.4961448115991232E-2</v>
      </c>
      <c r="D74" s="37" cm="1">
        <f t="array" ref="D74">IF(ROW()&lt;3,"NA",IFERROR(B74/INDEX($B:$B,ROW()-1)-1,"NA"))</f>
        <v>-4.9040588848765498E-3</v>
      </c>
      <c r="E74" s="37" cm="1">
        <f t="array" ref="E74">IF(ROW()&lt;5,"NA",IFERROR(B74/INDEX($B:$B,ROW()-3)-1,"NA"))</f>
        <v>-1.70016882587114E-2</v>
      </c>
      <c r="F74" s="38">
        <f t="shared" si="1"/>
        <v>-7.7764656495556236E-2</v>
      </c>
    </row>
    <row r="75" spans="1:6">
      <c r="A75" s="9">
        <v>42370</v>
      </c>
      <c r="B75" s="10">
        <v>99.560699999999997</v>
      </c>
      <c r="C75" s="37" cm="1">
        <f t="array" ref="C75">IF(ROW()&lt;14,"",IFERROR(B75/INDEX($B:$B,ROW()-12)-1,""))</f>
        <v>-3.2362560197491619E-2</v>
      </c>
      <c r="D75" s="37" cm="1">
        <f t="array" ref="D75">IF(ROW()&lt;3,"NA",IFERROR(B75/INDEX($B:$B,ROW()-1)-1,"NA"))</f>
        <v>5.2402169995062753E-3</v>
      </c>
      <c r="E75" s="37" cm="1">
        <f t="array" ref="E75">IF(ROW()&lt;5,"NA",IFERROR(B75/INDEX($B:$B,ROW()-3)-1,"NA"))</f>
        <v>-7.0491435410278136E-3</v>
      </c>
      <c r="F75" s="38">
        <f t="shared" si="1"/>
        <v>7.5494088567237633E-2</v>
      </c>
    </row>
    <row r="76" spans="1:6">
      <c r="A76" s="9">
        <v>42401</v>
      </c>
      <c r="B76" s="10">
        <v>99.044499999999999</v>
      </c>
      <c r="C76" s="37" cm="1">
        <f t="array" ref="C76">IF(ROW()&lt;14,"",IFERROR(B76/INDEX($B:$B,ROW()-12)-1,""))</f>
        <v>-3.1193297695960798E-2</v>
      </c>
      <c r="D76" s="37" cm="1">
        <f t="array" ref="D76">IF(ROW()&lt;3,"NA",IFERROR(B76/INDEX($B:$B,ROW()-1)-1,"NA"))</f>
        <v>-5.1847767241491871E-3</v>
      </c>
      <c r="E76" s="37" cm="1">
        <f t="array" ref="E76">IF(ROW()&lt;5,"NA",IFERROR(B76/INDEX($B:$B,ROW()-3)-1,"NA"))</f>
        <v>-4.8759266069056117E-3</v>
      </c>
      <c r="F76" s="38">
        <f t="shared" si="1"/>
        <v>-7.6937827042425536E-2</v>
      </c>
    </row>
    <row r="77" spans="1:6">
      <c r="A77" s="9">
        <v>42430</v>
      </c>
      <c r="B77" s="10">
        <v>98.309600000000003</v>
      </c>
      <c r="C77" s="37" cm="1">
        <f t="array" ref="C77">IF(ROW()&lt;14,"",IFERROR(B77/INDEX($B:$B,ROW()-12)-1,""))</f>
        <v>-3.5153114001770569E-2</v>
      </c>
      <c r="D77" s="37" cm="1">
        <f t="array" ref="D77">IF(ROW()&lt;3,"NA",IFERROR(B77/INDEX($B:$B,ROW()-1)-1,"NA"))</f>
        <v>-7.4198971169524564E-3</v>
      </c>
      <c r="E77" s="37" cm="1">
        <f t="array" ref="E77">IF(ROW()&lt;5,"NA",IFERROR(B77/INDEX($B:$B,ROW()-3)-1,"NA"))</f>
        <v>-7.3918359640434694E-3</v>
      </c>
      <c r="F77" s="38">
        <f t="shared" si="1"/>
        <v>-0.29395102886641111</v>
      </c>
    </row>
    <row r="78" spans="1:6">
      <c r="A78" s="9">
        <v>42461</v>
      </c>
      <c r="B78" s="10">
        <v>98.642099999999999</v>
      </c>
      <c r="C78" s="37" cm="1">
        <f t="array" ref="C78">IF(ROW()&lt;14,"",IFERROR(B78/INDEX($B:$B,ROW()-12)-1,""))</f>
        <v>-2.6579036961380753E-2</v>
      </c>
      <c r="D78" s="37" cm="1">
        <f t="array" ref="D78">IF(ROW()&lt;3,"NA",IFERROR(B78/INDEX($B:$B,ROW()-1)-1,"NA"))</f>
        <v>3.3821722395370735E-3</v>
      </c>
      <c r="E78" s="37" cm="1">
        <f t="array" ref="E78">IF(ROW()&lt;5,"NA",IFERROR(B78/INDEX($B:$B,ROW()-3)-1,"NA"))</f>
        <v>-9.226532155760192E-3</v>
      </c>
      <c r="F78" s="38">
        <f t="shared" si="1"/>
        <v>-0.19576503130691361</v>
      </c>
    </row>
    <row r="79" spans="1:6">
      <c r="A79" s="9">
        <v>42491</v>
      </c>
      <c r="B79" s="10">
        <v>98.418400000000005</v>
      </c>
      <c r="C79" s="37" cm="1">
        <f t="array" ref="C79">IF(ROW()&lt;14,"",IFERROR(B79/INDEX($B:$B,ROW()-12)-1,""))</f>
        <v>-2.4481530563999931E-2</v>
      </c>
      <c r="D79" s="37" cm="1">
        <f t="array" ref="D79">IF(ROW()&lt;3,"NA",IFERROR(B79/INDEX($B:$B,ROW()-1)-1,"NA"))</f>
        <v>-2.2677943798843359E-3</v>
      </c>
      <c r="E79" s="37" cm="1">
        <f t="array" ref="E79">IF(ROW()&lt;5,"NA",IFERROR(B79/INDEX($B:$B,ROW()-3)-1,"NA"))</f>
        <v>-6.3214009864251963E-3</v>
      </c>
      <c r="F79" s="38">
        <f t="shared" si="1"/>
        <v>-0.26182279868754293</v>
      </c>
    </row>
    <row r="80" spans="1:6">
      <c r="A80" s="9">
        <v>42522</v>
      </c>
      <c r="B80" s="10">
        <v>98.883300000000006</v>
      </c>
      <c r="C80" s="37" cm="1">
        <f t="array" ref="C80">IF(ROW()&lt;14,"",IFERROR(B80/INDEX($B:$B,ROW()-12)-1,""))</f>
        <v>-1.6781179465253371E-2</v>
      </c>
      <c r="D80" s="37" cm="1">
        <f t="array" ref="D80">IF(ROW()&lt;3,"NA",IFERROR(B80/INDEX($B:$B,ROW()-1)-1,"NA"))</f>
        <v>4.7237102005315279E-3</v>
      </c>
      <c r="E80" s="37" cm="1">
        <f t="array" ref="E80">IF(ROW()&lt;5,"NA",IFERROR(B80/INDEX($B:$B,ROW()-3)-1,"NA"))</f>
        <v>5.835645755857044E-3</v>
      </c>
      <c r="F80" s="38">
        <f t="shared" si="1"/>
        <v>-0.12453957984420172</v>
      </c>
    </row>
    <row r="81" spans="1:6">
      <c r="A81" s="9">
        <v>42552</v>
      </c>
      <c r="B81" s="10">
        <v>98.999200000000002</v>
      </c>
      <c r="C81" s="37" cm="1">
        <f t="array" ref="C81">IF(ROW()&lt;14,"",IFERROR(B81/INDEX($B:$B,ROW()-12)-1,""))</f>
        <v>-2.1967382842600691E-2</v>
      </c>
      <c r="D81" s="37" cm="1">
        <f t="array" ref="D81">IF(ROW()&lt;3,"NA",IFERROR(B81/INDEX($B:$B,ROW()-1)-1,"NA"))</f>
        <v>1.1720887146766668E-3</v>
      </c>
      <c r="E81" s="37" cm="1">
        <f t="array" ref="E81">IF(ROW()&lt;5,"NA",IFERROR(B81/INDEX($B:$B,ROW()-3)-1,"NA"))</f>
        <v>3.6201581272095051E-3</v>
      </c>
      <c r="F81" s="38">
        <f t="shared" si="1"/>
        <v>-9.031474640917754E-2</v>
      </c>
    </row>
    <row r="82" spans="1:6">
      <c r="A82" s="9">
        <v>42583</v>
      </c>
      <c r="B82" s="10">
        <v>98.85</v>
      </c>
      <c r="C82" s="37" cm="1">
        <f t="array" ref="C82">IF(ROW()&lt;14,"",IFERROR(B82/INDEX($B:$B,ROW()-12)-1,""))</f>
        <v>-2.1642630846019362E-2</v>
      </c>
      <c r="D82" s="37" cm="1">
        <f t="array" ref="D82">IF(ROW()&lt;3,"NA",IFERROR(B82/INDEX($B:$B,ROW()-1)-1,"NA"))</f>
        <v>-1.5070828855183738E-3</v>
      </c>
      <c r="E82" s="37" cm="1">
        <f t="array" ref="E82">IF(ROW()&lt;5,"NA",IFERROR(B82/INDEX($B:$B,ROW()-3)-1,"NA"))</f>
        <v>4.3853588353395256E-3</v>
      </c>
      <c r="F82" s="38">
        <f t="shared" si="1"/>
        <v>-0.13437294441181796</v>
      </c>
    </row>
    <row r="83" spans="1:6">
      <c r="A83" s="9">
        <v>42614</v>
      </c>
      <c r="B83" s="10">
        <v>98.745699999999999</v>
      </c>
      <c r="C83" s="37" cm="1">
        <f t="array" ref="C83">IF(ROW()&lt;14,"",IFERROR(B83/INDEX($B:$B,ROW()-12)-1,""))</f>
        <v>-1.9939516469206886E-2</v>
      </c>
      <c r="D83" s="37" cm="1">
        <f t="array" ref="D83">IF(ROW()&lt;3,"NA",IFERROR(B83/INDEX($B:$B,ROW()-1)-1,"NA"))</f>
        <v>-1.0551340414769461E-3</v>
      </c>
      <c r="E83" s="37" cm="1">
        <f t="array" ref="E83">IF(ROW()&lt;5,"NA",IFERROR(B83/INDEX($B:$B,ROW()-3)-1,"NA"))</f>
        <v>-1.3915393195818027E-3</v>
      </c>
      <c r="F83" s="38">
        <f t="shared" si="1"/>
        <v>-0.1651723415410066</v>
      </c>
    </row>
    <row r="84" spans="1:6">
      <c r="A84" s="9">
        <v>42644</v>
      </c>
      <c r="B84" s="10">
        <v>98.761099999999999</v>
      </c>
      <c r="C84" s="37" cm="1">
        <f t="array" ref="C84">IF(ROW()&lt;14,"",IFERROR(B84/INDEX($B:$B,ROW()-12)-1,""))</f>
        <v>-1.5023811304759715E-2</v>
      </c>
      <c r="D84" s="37" cm="1">
        <f t="array" ref="D84">IF(ROW()&lt;3,"NA",IFERROR(B84/INDEX($B:$B,ROW()-1)-1,"NA"))</f>
        <v>1.5595615809083085E-4</v>
      </c>
      <c r="E84" s="37" cm="1">
        <f t="array" ref="E84">IF(ROW()&lt;5,"NA",IFERROR(B84/INDEX($B:$B,ROW()-3)-1,"NA"))</f>
        <v>-2.405069939959148E-3</v>
      </c>
      <c r="F84" s="38">
        <f t="shared" si="1"/>
        <v>-0.1606247795487773</v>
      </c>
    </row>
    <row r="85" spans="1:6">
      <c r="A85" s="9">
        <v>42675</v>
      </c>
      <c r="B85" s="10">
        <v>98.349100000000007</v>
      </c>
      <c r="C85" s="37" cm="1">
        <f t="array" ref="C85">IF(ROW()&lt;14,"",IFERROR(B85/INDEX($B:$B,ROW()-12)-1,""))</f>
        <v>-1.1862778785850958E-2</v>
      </c>
      <c r="D85" s="37" cm="1">
        <f t="array" ref="D85">IF(ROW()&lt;3,"NA",IFERROR(B85/INDEX($B:$B,ROW()-1)-1,"NA"))</f>
        <v>-4.1716829804446798E-3</v>
      </c>
      <c r="E85" s="37" cm="1">
        <f t="array" ref="E85">IF(ROW()&lt;5,"NA",IFERROR(B85/INDEX($B:$B,ROW()-3)-1,"NA"))</f>
        <v>-5.0672736469397073E-3</v>
      </c>
      <c r="F85" s="38">
        <f t="shared" si="1"/>
        <v>-0.28228682765257479</v>
      </c>
    </row>
    <row r="86" spans="1:6">
      <c r="A86" s="9">
        <v>42705</v>
      </c>
      <c r="B86" s="10">
        <v>99.0214</v>
      </c>
      <c r="C86" s="37" cm="1">
        <f t="array" ref="C86">IF(ROW()&lt;14,"",IFERROR(B86/INDEX($B:$B,ROW()-12)-1,""))</f>
        <v>-2.0496417165705161E-4</v>
      </c>
      <c r="D86" s="37" cm="1">
        <f t="array" ref="D86">IF(ROW()&lt;3,"NA",IFERROR(B86/INDEX($B:$B,ROW()-1)-1,"NA"))</f>
        <v>6.8358530988081867E-3</v>
      </c>
      <c r="E86" s="37" cm="1">
        <f t="array" ref="E86">IF(ROW()&lt;5,"NA",IFERROR(B86/INDEX($B:$B,ROW()-3)-1,"NA"))</f>
        <v>2.79202031075787E-3</v>
      </c>
      <c r="F86" s="38">
        <f t="shared" si="1"/>
        <v>-8.3759170030769492E-2</v>
      </c>
    </row>
    <row r="87" spans="1:6">
      <c r="A87" s="9">
        <v>42736</v>
      </c>
      <c r="B87" s="10">
        <v>98.761099999999999</v>
      </c>
      <c r="C87" s="37" cm="1">
        <f t="array" ref="C87">IF(ROW()&lt;14,"",IFERROR(B87/INDEX($B:$B,ROW()-12)-1,""))</f>
        <v>-8.0312814192748938E-3</v>
      </c>
      <c r="D87" s="37" cm="1">
        <f t="array" ref="D87">IF(ROW()&lt;3,"NA",IFERROR(B87/INDEX($B:$B,ROW()-1)-1,"NA"))</f>
        <v>-2.6287246999133762E-3</v>
      </c>
      <c r="E87" s="37" cm="1">
        <f t="array" ref="E87">IF(ROW()&lt;5,"NA",IFERROR(B87/INDEX($B:$B,ROW()-3)-1,"NA"))</f>
        <v>0</v>
      </c>
      <c r="F87" s="38">
        <f t="shared" si="1"/>
        <v>-0.1606247795487773</v>
      </c>
    </row>
    <row r="88" spans="1:6">
      <c r="A88" s="9">
        <v>42767</v>
      </c>
      <c r="B88" s="10">
        <v>98.364599999999996</v>
      </c>
      <c r="C88" s="37" cm="1">
        <f t="array" ref="C88">IF(ROW()&lt;14,"",IFERROR(B88/INDEX($B:$B,ROW()-12)-1,""))</f>
        <v>-6.864591168616152E-3</v>
      </c>
      <c r="D88" s="37" cm="1">
        <f t="array" ref="D88">IF(ROW()&lt;3,"NA",IFERROR(B88/INDEX($B:$B,ROW()-1)-1,"NA"))</f>
        <v>-4.014738596471723E-3</v>
      </c>
      <c r="E88" s="37" cm="1">
        <f t="array" ref="E88">IF(ROW()&lt;5,"NA",IFERROR(B88/INDEX($B:$B,ROW()-3)-1,"NA"))</f>
        <v>1.5760184892377183E-4</v>
      </c>
      <c r="F88" s="38">
        <f t="shared" si="1"/>
        <v>-0.27770973603702254</v>
      </c>
    </row>
    <row r="89" spans="1:6">
      <c r="A89" s="9">
        <v>42795</v>
      </c>
      <c r="B89" s="10">
        <v>99.0137</v>
      </c>
      <c r="C89" s="37" cm="1">
        <f t="array" ref="C89">IF(ROW()&lt;14,"",IFERROR(B89/INDEX($B:$B,ROW()-12)-1,""))</f>
        <v>7.1620675905506026E-3</v>
      </c>
      <c r="D89" s="37" cm="1">
        <f t="array" ref="D89">IF(ROW()&lt;3,"NA",IFERROR(B89/INDEX($B:$B,ROW()-1)-1,"NA"))</f>
        <v>6.5989187166928254E-3</v>
      </c>
      <c r="E89" s="37" cm="1">
        <f t="array" ref="E89">IF(ROW()&lt;5,"NA",IFERROR(B89/INDEX($B:$B,ROW()-3)-1,"NA"))</f>
        <v>-7.7760968841045219E-5</v>
      </c>
      <c r="F89" s="38">
        <f t="shared" si="1"/>
        <v>-8.6032951026884144E-2</v>
      </c>
    </row>
    <row r="90" spans="1:6">
      <c r="A90" s="9">
        <v>42826</v>
      </c>
      <c r="B90" s="10">
        <v>100.0224</v>
      </c>
      <c r="C90" s="37" cm="1">
        <f t="array" ref="C90">IF(ROW()&lt;14,"",IFERROR(B90/INDEX($B:$B,ROW()-12)-1,""))</f>
        <v>1.3993011097695573E-2</v>
      </c>
      <c r="D90" s="37" cm="1">
        <f t="array" ref="D90">IF(ROW()&lt;3,"NA",IFERROR(B90/INDEX($B:$B,ROW()-1)-1,"NA"))</f>
        <v>1.01874791064267E-2</v>
      </c>
      <c r="E90" s="37" cm="1">
        <f t="array" ref="E90">IF(ROW()&lt;5,"NA",IFERROR(B90/INDEX($B:$B,ROW()-3)-1,"NA"))</f>
        <v>1.2771222677754768E-2</v>
      </c>
      <c r="F90" s="38">
        <f t="shared" si="1"/>
        <v>0.21183235946414375</v>
      </c>
    </row>
    <row r="91" spans="1:6">
      <c r="A91" s="9">
        <v>42856</v>
      </c>
      <c r="B91" s="10">
        <v>100.1408</v>
      </c>
      <c r="C91" s="37" cm="1">
        <f t="array" ref="C91">IF(ROW()&lt;14,"",IFERROR(B91/INDEX($B:$B,ROW()-12)-1,""))</f>
        <v>1.7500792534729248E-2</v>
      </c>
      <c r="D91" s="37" cm="1">
        <f t="array" ref="D91">IF(ROW()&lt;3,"NA",IFERROR(B91/INDEX($B:$B,ROW()-1)-1,"NA"))</f>
        <v>1.1837348433949568E-3</v>
      </c>
      <c r="E91" s="37" cm="1">
        <f t="array" ref="E91">IF(ROW()&lt;5,"NA",IFERROR(B91/INDEX($B:$B,ROW()-3)-1,"NA"))</f>
        <v>1.8057309235232966E-2</v>
      </c>
      <c r="F91" s="38">
        <f t="shared" si="1"/>
        <v>0.24679543348232139</v>
      </c>
    </row>
    <row r="92" spans="1:6">
      <c r="A92" s="9">
        <v>42887</v>
      </c>
      <c r="B92" s="10">
        <v>100.3471</v>
      </c>
      <c r="C92" s="37" cm="1">
        <f t="array" ref="C92">IF(ROW()&lt;14,"",IFERROR(B92/INDEX($B:$B,ROW()-12)-1,""))</f>
        <v>1.4803308546539107E-2</v>
      </c>
      <c r="D92" s="37" cm="1">
        <f t="array" ref="D92">IF(ROW()&lt;3,"NA",IFERROR(B92/INDEX($B:$B,ROW()-1)-1,"NA"))</f>
        <v>2.0600993800727885E-3</v>
      </c>
      <c r="E92" s="37" cm="1">
        <f t="array" ref="E92">IF(ROW()&lt;5,"NA",IFERROR(B92/INDEX($B:$B,ROW()-3)-1,"NA"))</f>
        <v>1.3466823277990869E-2</v>
      </c>
      <c r="F92" s="38">
        <f t="shared" si="1"/>
        <v>0.30771504640419944</v>
      </c>
    </row>
    <row r="93" spans="1:6">
      <c r="A93" s="9">
        <v>42917</v>
      </c>
      <c r="B93" s="10">
        <v>100.10680000000001</v>
      </c>
      <c r="C93" s="37" cm="1">
        <f t="array" ref="C93">IF(ROW()&lt;14,"",IFERROR(B93/INDEX($B:$B,ROW()-12)-1,""))</f>
        <v>1.1187969195710634E-2</v>
      </c>
      <c r="D93" s="37" cm="1">
        <f t="array" ref="D93">IF(ROW()&lt;3,"NA",IFERROR(B93/INDEX($B:$B,ROW()-1)-1,"NA"))</f>
        <v>-2.3946880378206137E-3</v>
      </c>
      <c r="E93" s="37" cm="1">
        <f t="array" ref="E93">IF(ROW()&lt;5,"NA",IFERROR(B93/INDEX($B:$B,ROW()-3)-1,"NA"))</f>
        <v>8.4381098633912188E-4</v>
      </c>
      <c r="F93" s="38">
        <f t="shared" si="1"/>
        <v>0.23675536155142768</v>
      </c>
    </row>
    <row r="94" spans="1:6">
      <c r="A94" s="9">
        <v>42948</v>
      </c>
      <c r="B94" s="10">
        <v>99.692499999999995</v>
      </c>
      <c r="C94" s="37" cm="1">
        <f t="array" ref="C94">IF(ROW()&lt;14,"",IFERROR(B94/INDEX($B:$B,ROW()-12)-1,""))</f>
        <v>8.5230146686898767E-3</v>
      </c>
      <c r="D94" s="37" cm="1">
        <f t="array" ref="D94">IF(ROW()&lt;3,"NA",IFERROR(B94/INDEX($B:$B,ROW()-1)-1,"NA"))</f>
        <v>-4.1385799965637515E-3</v>
      </c>
      <c r="E94" s="37" cm="1">
        <f t="array" ref="E94">IF(ROW()&lt;5,"NA",IFERROR(B94/INDEX($B:$B,ROW()-3)-1,"NA"))</f>
        <v>-4.4766968108902461E-3</v>
      </c>
      <c r="F94" s="38">
        <f t="shared" si="1"/>
        <v>0.11441413211112264</v>
      </c>
    </row>
    <row r="95" spans="1:6">
      <c r="A95" s="9">
        <v>42979</v>
      </c>
      <c r="B95" s="10">
        <v>99.795400000000001</v>
      </c>
      <c r="C95" s="37" cm="1">
        <f t="array" ref="C95">IF(ROW()&lt;14,"",IFERROR(B95/INDEX($B:$B,ROW()-12)-1,""))</f>
        <v>1.0630336308315114E-2</v>
      </c>
      <c r="D95" s="37" cm="1">
        <f t="array" ref="D95">IF(ROW()&lt;3,"NA",IFERROR(B95/INDEX($B:$B,ROW()-1)-1,"NA"))</f>
        <v>1.0321739348497783E-3</v>
      </c>
      <c r="E95" s="37" cm="1">
        <f t="array" ref="E95">IF(ROW()&lt;5,"NA",IFERROR(B95/INDEX($B:$B,ROW()-3)-1,"NA"))</f>
        <v>-5.4979167310266197E-3</v>
      </c>
      <c r="F95" s="38">
        <f t="shared" si="1"/>
        <v>0.14480011451374802</v>
      </c>
    </row>
    <row r="96" spans="1:6">
      <c r="A96" s="9">
        <v>43009</v>
      </c>
      <c r="B96" s="10">
        <v>101.0247</v>
      </c>
      <c r="C96" s="37" cm="1">
        <f t="array" ref="C96">IF(ROW()&lt;14,"",IFERROR(B96/INDEX($B:$B,ROW()-12)-1,""))</f>
        <v>2.2919955326540453E-2</v>
      </c>
      <c r="D96" s="37" cm="1">
        <f t="array" ref="D96">IF(ROW()&lt;3,"NA",IFERROR(B96/INDEX($B:$B,ROW()-1)-1,"NA"))</f>
        <v>1.231820304342679E-2</v>
      </c>
      <c r="E96" s="37" cm="1">
        <f t="array" ref="E96">IF(ROW()&lt;5,"NA",IFERROR(B96/INDEX($B:$B,ROW()-3)-1,"NA"))</f>
        <v>9.1692072866178531E-3</v>
      </c>
      <c r="F96" s="38">
        <f t="shared" si="1"/>
        <v>0.50780777406229305</v>
      </c>
    </row>
    <row r="97" spans="1:6">
      <c r="A97" s="9">
        <v>43040</v>
      </c>
      <c r="B97" s="10">
        <v>101.2664</v>
      </c>
      <c r="C97" s="37" cm="1">
        <f t="array" ref="C97">IF(ROW()&lt;14,"",IFERROR(B97/INDEX($B:$B,ROW()-12)-1,""))</f>
        <v>2.9662701539719283E-2</v>
      </c>
      <c r="D97" s="37" cm="1">
        <f t="array" ref="D97">IF(ROW()&lt;3,"NA",IFERROR(B97/INDEX($B:$B,ROW()-1)-1,"NA"))</f>
        <v>2.3924842142566405E-3</v>
      </c>
      <c r="E97" s="37" cm="1">
        <f t="array" ref="E97">IF(ROW()&lt;5,"NA",IFERROR(B97/INDEX($B:$B,ROW()-3)-1,"NA"))</f>
        <v>1.578754670612148E-2</v>
      </c>
      <c r="F97" s="38">
        <f t="shared" si="1"/>
        <v>0.57918087364163651</v>
      </c>
    </row>
    <row r="98" spans="1:6">
      <c r="A98" s="9">
        <v>43070</v>
      </c>
      <c r="B98" s="10">
        <v>101.4644</v>
      </c>
      <c r="C98" s="37" cm="1">
        <f t="array" ref="C98">IF(ROW()&lt;14,"",IFERROR(B98/INDEX($B:$B,ROW()-12)-1,""))</f>
        <v>2.4671434659578662E-2</v>
      </c>
      <c r="D98" s="37" cm="1">
        <f t="array" ref="D98">IF(ROW()&lt;3,"NA",IFERROR(B98/INDEX($B:$B,ROW()-1)-1,"NA"))</f>
        <v>1.9552388551384858E-3</v>
      </c>
      <c r="E98" s="37" cm="1">
        <f t="array" ref="E98">IF(ROW()&lt;5,"NA",IFERROR(B98/INDEX($B:$B,ROW()-3)-1,"NA"))</f>
        <v>1.6724217749515491E-2</v>
      </c>
      <c r="F98" s="38">
        <f t="shared" si="1"/>
        <v>0.63764952782744122</v>
      </c>
    </row>
    <row r="99" spans="1:6">
      <c r="A99" s="9">
        <v>43101</v>
      </c>
      <c r="B99" s="10">
        <v>101.46250000000001</v>
      </c>
      <c r="C99" s="37" cm="1">
        <f t="array" ref="C99">IF(ROW()&lt;14,"",IFERROR(B99/INDEX($B:$B,ROW()-12)-1,""))</f>
        <v>2.7352874765469437E-2</v>
      </c>
      <c r="D99" s="37" cm="1">
        <f t="array" ref="D99">IF(ROW()&lt;3,"NA",IFERROR(B99/INDEX($B:$B,ROW()-1)-1,"NA"))</f>
        <v>-1.8725779682204902E-5</v>
      </c>
      <c r="E99" s="37" cm="1">
        <f t="array" ref="E99">IF(ROW()&lt;5,"NA",IFERROR(B99/INDEX($B:$B,ROW()-3)-1,"NA"))</f>
        <v>4.3335936657076246E-3</v>
      </c>
      <c r="F99" s="38">
        <f t="shared" si="1"/>
        <v>0.63708846498424643</v>
      </c>
    </row>
    <row r="100" spans="1:6">
      <c r="A100" s="9">
        <v>43132</v>
      </c>
      <c r="B100" s="10">
        <v>101.7085</v>
      </c>
      <c r="C100" s="37" cm="1">
        <f t="array" ref="C100">IF(ROW()&lt;14,"",IFERROR(B100/INDEX($B:$B,ROW()-12)-1,""))</f>
        <v>3.3994953469032696E-2</v>
      </c>
      <c r="D100" s="37" cm="1">
        <f t="array" ref="D100">IF(ROW()&lt;3,"NA",IFERROR(B100/INDEX($B:$B,ROW()-1)-1,"NA"))</f>
        <v>2.4245410866083894E-3</v>
      </c>
      <c r="E100" s="37" cm="1">
        <f t="array" ref="E100">IF(ROW()&lt;5,"NA",IFERROR(B100/INDEX($B:$B,ROW()-3)-1,"NA"))</f>
        <v>4.3657126154381665E-3</v>
      </c>
      <c r="F100" s="38">
        <f t="shared" si="1"/>
        <v>0.70973133836661095</v>
      </c>
    </row>
    <row r="101" spans="1:6">
      <c r="A101" s="9">
        <v>43160</v>
      </c>
      <c r="B101" s="10">
        <v>102.2067</v>
      </c>
      <c r="C101" s="37" cm="1">
        <f t="array" ref="C101">IF(ROW()&lt;14,"",IFERROR(B101/INDEX($B:$B,ROW()-12)-1,""))</f>
        <v>3.2248062641836439E-2</v>
      </c>
      <c r="D101" s="37" cm="1">
        <f t="array" ref="D101">IF(ROW()&lt;3,"NA",IFERROR(B101/INDEX($B:$B,ROW()-1)-1,"NA"))</f>
        <v>4.8983123337773549E-3</v>
      </c>
      <c r="E101" s="37" cm="1">
        <f t="array" ref="E101">IF(ROW()&lt;5,"NA",IFERROR(B101/INDEX($B:$B,ROW()-3)-1,"NA"))</f>
        <v>7.3158664516814742E-3</v>
      </c>
      <c r="F101" s="38">
        <f t="shared" si="1"/>
        <v>0.85684792177756419</v>
      </c>
    </row>
    <row r="102" spans="1:6">
      <c r="A102" s="9">
        <v>43191</v>
      </c>
      <c r="B102" s="10">
        <v>103.3329</v>
      </c>
      <c r="C102" s="37" cm="1">
        <f t="array" ref="C102">IF(ROW()&lt;14,"",IFERROR(B102/INDEX($B:$B,ROW()-12)-1,""))</f>
        <v>3.3097586140704349E-2</v>
      </c>
      <c r="D102" s="37" cm="1">
        <f t="array" ref="D102">IF(ROW()&lt;3,"NA",IFERROR(B102/INDEX($B:$B,ROW()-1)-1,"NA"))</f>
        <v>1.1018847101021745E-2</v>
      </c>
      <c r="E102" s="37" cm="1">
        <f t="array" ref="E102">IF(ROW()&lt;5,"NA",IFERROR(B102/INDEX($B:$B,ROW()-3)-1,"NA"))</f>
        <v>1.8434396944683851E-2</v>
      </c>
      <c r="F102" s="38">
        <f t="shared" si="1"/>
        <v>1.1894105396768337</v>
      </c>
    </row>
    <row r="103" spans="1:6">
      <c r="A103" s="9">
        <v>43221</v>
      </c>
      <c r="B103" s="10">
        <v>102.4024</v>
      </c>
      <c r="C103" s="37" cm="1">
        <f t="array" ref="C103">IF(ROW()&lt;14,"",IFERROR(B103/INDEX($B:$B,ROW()-12)-1,""))</f>
        <v>2.2584201444366236E-2</v>
      </c>
      <c r="D103" s="37" cm="1">
        <f t="array" ref="D103">IF(ROW()&lt;3,"NA",IFERROR(B103/INDEX($B:$B,ROW()-1)-1,"NA"))</f>
        <v>-9.0048764720626062E-3</v>
      </c>
      <c r="E103" s="37" cm="1">
        <f t="array" ref="E103">IF(ROW()&lt;5,"NA",IFERROR(B103/INDEX($B:$B,ROW()-3)-1,"NA"))</f>
        <v>6.8224386359054812E-3</v>
      </c>
      <c r="F103" s="38">
        <f t="shared" si="1"/>
        <v>0.91463739462686988</v>
      </c>
    </row>
    <row r="104" spans="1:6">
      <c r="A104" s="9">
        <v>43252</v>
      </c>
      <c r="B104" s="10">
        <v>103.19799999999999</v>
      </c>
      <c r="C104" s="37" cm="1">
        <f t="array" ref="C104">IF(ROW()&lt;14,"",IFERROR(B104/INDEX($B:$B,ROW()-12)-1,""))</f>
        <v>2.8410387544831828E-2</v>
      </c>
      <c r="D104" s="37" cm="1">
        <f t="array" ref="D104">IF(ROW()&lt;3,"NA",IFERROR(B104/INDEX($B:$B,ROW()-1)-1,"NA"))</f>
        <v>7.7693491558790129E-3</v>
      </c>
      <c r="E104" s="37" cm="1">
        <f t="array" ref="E104">IF(ROW()&lt;5,"NA",IFERROR(B104/INDEX($B:$B,ROW()-3)-1,"NA"))</f>
        <v>9.6989727679299698E-3</v>
      </c>
      <c r="F104" s="38">
        <f t="shared" si="1"/>
        <v>1.1495750778098368</v>
      </c>
    </row>
    <row r="105" spans="1:6">
      <c r="A105" s="9">
        <v>43282</v>
      </c>
      <c r="B105" s="10">
        <v>103.3646</v>
      </c>
      <c r="C105" s="37" cm="1">
        <f t="array" ref="C105">IF(ROW()&lt;14,"",IFERROR(B105/INDEX($B:$B,ROW()-12)-1,""))</f>
        <v>3.2543243815604805E-2</v>
      </c>
      <c r="D105" s="37" cm="1">
        <f t="array" ref="D105">IF(ROW()&lt;3,"NA",IFERROR(B105/INDEX($B:$B,ROW()-1)-1,"NA"))</f>
        <v>1.6143723715575931E-3</v>
      </c>
      <c r="E105" s="37" cm="1">
        <f t="array" ref="E105">IF(ROW()&lt;5,"NA",IFERROR(B105/INDEX($B:$B,ROW()-3)-1,"NA"))</f>
        <v>3.0677548002611132E-4</v>
      </c>
      <c r="F105" s="38">
        <f t="shared" si="1"/>
        <v>1.1987714302712285</v>
      </c>
    </row>
    <row r="106" spans="1:6">
      <c r="A106" s="9">
        <v>43313</v>
      </c>
      <c r="B106" s="10">
        <v>104.03270000000001</v>
      </c>
      <c r="C106" s="37" cm="1">
        <f t="array" ref="C106">IF(ROW()&lt;14,"",IFERROR(B106/INDEX($B:$B,ROW()-12)-1,""))</f>
        <v>4.3535872808887488E-2</v>
      </c>
      <c r="D106" s="37" cm="1">
        <f t="array" ref="D106">IF(ROW()&lt;3,"NA",IFERROR(B106/INDEX($B:$B,ROW()-1)-1,"NA"))</f>
        <v>6.4635281324554317E-3</v>
      </c>
      <c r="E106" s="37" cm="1">
        <f t="array" ref="E106">IF(ROW()&lt;5,"NA",IFERROR(B106/INDEX($B:$B,ROW()-3)-1,"NA"))</f>
        <v>1.5920525300188393E-2</v>
      </c>
      <c r="F106" s="38">
        <f t="shared" si="1"/>
        <v>1.3960588437133397</v>
      </c>
    </row>
    <row r="107" spans="1:6">
      <c r="A107" s="9">
        <v>43344</v>
      </c>
      <c r="B107" s="10">
        <v>104.10039999999999</v>
      </c>
      <c r="C107" s="37" cm="1">
        <f t="array" ref="C107">IF(ROW()&lt;14,"",IFERROR(B107/INDEX($B:$B,ROW()-12)-1,""))</f>
        <v>4.313826088176409E-2</v>
      </c>
      <c r="D107" s="37" cm="1">
        <f t="array" ref="D107">IF(ROW()&lt;3,"NA",IFERROR(B107/INDEX($B:$B,ROW()-1)-1,"NA"))</f>
        <v>6.5075692546656683E-4</v>
      </c>
      <c r="E107" s="37" cm="1">
        <f t="array" ref="E107">IF(ROW()&lt;5,"NA",IFERROR(B107/INDEX($B:$B,ROW()-3)-1,"NA"))</f>
        <v>8.7443555107658E-3</v>
      </c>
      <c r="F107" s="38">
        <f t="shared" si="1"/>
        <v>1.4160503987051498</v>
      </c>
    </row>
    <row r="108" spans="1:6">
      <c r="A108" s="9">
        <v>43374</v>
      </c>
      <c r="B108" s="10">
        <v>103.98560000000001</v>
      </c>
      <c r="C108" s="37" cm="1">
        <f t="array" ref="C108">IF(ROW()&lt;14,"",IFERROR(B108/INDEX($B:$B,ROW()-12)-1,""))</f>
        <v>2.9308674017344272E-2</v>
      </c>
      <c r="D108" s="37" cm="1">
        <f t="array" ref="D108">IF(ROW()&lt;3,"NA",IFERROR(B108/INDEX($B:$B,ROW()-1)-1,"NA"))</f>
        <v>-1.1027815455079137E-3</v>
      </c>
      <c r="E108" s="37" cm="1">
        <f t="array" ref="E108">IF(ROW()&lt;5,"NA",IFERROR(B108/INDEX($B:$B,ROW()-3)-1,"NA"))</f>
        <v>6.0078595573340721E-3</v>
      </c>
      <c r="F108" s="38">
        <f t="shared" si="1"/>
        <v>1.3821503911267159</v>
      </c>
    </row>
    <row r="109" spans="1:6">
      <c r="A109" s="9">
        <v>43405</v>
      </c>
      <c r="B109" s="10">
        <v>104.0681</v>
      </c>
      <c r="C109" s="37" cm="1">
        <f t="array" ref="C109">IF(ROW()&lt;14,"",IFERROR(B109/INDEX($B:$B,ROW()-12)-1,""))</f>
        <v>2.7666629800210174E-2</v>
      </c>
      <c r="D109" s="37" cm="1">
        <f t="array" ref="D109">IF(ROW()&lt;3,"NA",IFERROR(B109/INDEX($B:$B,ROW()-1)-1,"NA"))</f>
        <v>7.93379083257717E-4</v>
      </c>
      <c r="E109" s="37" cm="1">
        <f t="array" ref="E109">IF(ROW()&lt;5,"NA",IFERROR(B109/INDEX($B:$B,ROW()-3)-1,"NA"))</f>
        <v>3.4027762424693186E-4</v>
      </c>
      <c r="F109" s="38">
        <f t="shared" si="1"/>
        <v>1.4065123303708009</v>
      </c>
    </row>
    <row r="110" spans="1:6">
      <c r="A110" s="9">
        <v>43435</v>
      </c>
      <c r="B110" s="10">
        <v>104.0936</v>
      </c>
      <c r="C110" s="37" cm="1">
        <f t="array" ref="C110">IF(ROW()&lt;14,"",IFERROR(B110/INDEX($B:$B,ROW()-12)-1,""))</f>
        <v>2.5912536810940523E-2</v>
      </c>
      <c r="D110" s="37" cm="1">
        <f t="array" ref="D110">IF(ROW()&lt;3,"NA",IFERROR(B110/INDEX($B:$B,ROW()-1)-1,"NA"))</f>
        <v>2.4503185894619861E-4</v>
      </c>
      <c r="E110" s="37" cm="1">
        <f t="array" ref="E110">IF(ROW()&lt;5,"NA",IFERROR(B110/INDEX($B:$B,ROW()-3)-1,"NA"))</f>
        <v>-6.5321554960418027E-5</v>
      </c>
      <c r="F110" s="38">
        <f t="shared" si="1"/>
        <v>1.4140423843189711</v>
      </c>
    </row>
    <row r="111" spans="1:6">
      <c r="A111" s="9">
        <v>43466</v>
      </c>
      <c r="B111" s="10">
        <v>103.4021</v>
      </c>
      <c r="C111" s="37" cm="1">
        <f t="array" ref="C111">IF(ROW()&lt;14,"",IFERROR(B111/INDEX($B:$B,ROW()-12)-1,""))</f>
        <v>1.9116422323518512E-2</v>
      </c>
      <c r="D111" s="37" cm="1">
        <f t="array" ref="D111">IF(ROW()&lt;3,"NA",IFERROR(B111/INDEX($B:$B,ROW()-1)-1,"NA"))</f>
        <v>-6.6430597078013243E-3</v>
      </c>
      <c r="E111" s="37" cm="1">
        <f t="array" ref="E111">IF(ROW()&lt;5,"NA",IFERROR(B111/INDEX($B:$B,ROW()-3)-1,"NA"))</f>
        <v>-5.6113538797679663E-3</v>
      </c>
      <c r="F111" s="38">
        <f t="shared" si="1"/>
        <v>1.2098450390185427</v>
      </c>
    </row>
    <row r="112" spans="1:6">
      <c r="A112" s="9">
        <v>43497</v>
      </c>
      <c r="B112" s="10">
        <v>102.83710000000001</v>
      </c>
      <c r="C112" s="37" cm="1">
        <f t="array" ref="C112">IF(ROW()&lt;14,"",IFERROR(B112/INDEX($B:$B,ROW()-12)-1,""))</f>
        <v>1.1096417703535089E-2</v>
      </c>
      <c r="D112" s="37" cm="1">
        <f t="array" ref="D112">IF(ROW()&lt;3,"NA",IFERROR(B112/INDEX($B:$B,ROW()-1)-1,"NA"))</f>
        <v>-5.4641056612969585E-3</v>
      </c>
      <c r="E112" s="37" cm="1">
        <f t="array" ref="E112">IF(ROW()&lt;5,"NA",IFERROR(B112/INDEX($B:$B,ROW()-3)-1,"NA"))</f>
        <v>-1.1828792876971805E-2</v>
      </c>
      <c r="F112" s="38">
        <f t="shared" si="1"/>
        <v>1.0430026672257111</v>
      </c>
    </row>
    <row r="113" spans="1:6">
      <c r="A113" s="9">
        <v>43525</v>
      </c>
      <c r="B113" s="10">
        <v>102.87569999999999</v>
      </c>
      <c r="C113" s="37" cm="1">
        <f t="array" ref="C113">IF(ROW()&lt;14,"",IFERROR(B113/INDEX($B:$B,ROW()-12)-1,""))</f>
        <v>6.5455591463181584E-3</v>
      </c>
      <c r="D113" s="37" cm="1">
        <f t="array" ref="D113">IF(ROW()&lt;3,"NA",IFERROR(B113/INDEX($B:$B,ROW()-1)-1,"NA"))</f>
        <v>3.7535091907470175E-4</v>
      </c>
      <c r="E113" s="37" cm="1">
        <f t="array" ref="E113">IF(ROW()&lt;5,"NA",IFERROR(B113/INDEX($B:$B,ROW()-3)-1,"NA"))</f>
        <v>-1.1700046880884107E-2</v>
      </c>
      <c r="F113" s="38">
        <f t="shared" si="1"/>
        <v>1.0544011018296073</v>
      </c>
    </row>
    <row r="114" spans="1:6">
      <c r="A114" s="9">
        <v>43556</v>
      </c>
      <c r="B114" s="10">
        <v>102.274</v>
      </c>
      <c r="C114" s="37" cm="1">
        <f t="array" ref="C114">IF(ROW()&lt;14,"",IFERROR(B114/INDEX($B:$B,ROW()-12)-1,""))</f>
        <v>-1.0247462328067725E-2</v>
      </c>
      <c r="D114" s="37" cm="1">
        <f t="array" ref="D114">IF(ROW()&lt;3,"NA",IFERROR(B114/INDEX($B:$B,ROW()-1)-1,"NA"))</f>
        <v>-5.8488058890485695E-3</v>
      </c>
      <c r="E114" s="37" cm="1">
        <f t="array" ref="E114">IF(ROW()&lt;5,"NA",IFERROR(B114/INDEX($B:$B,ROW()-3)-1,"NA"))</f>
        <v>-1.0909836453998567E-2</v>
      </c>
      <c r="F114" s="38">
        <f t="shared" si="1"/>
        <v>0.87672135827607423</v>
      </c>
    </row>
    <row r="115" spans="1:6">
      <c r="A115" s="9">
        <v>43586</v>
      </c>
      <c r="B115" s="10">
        <v>102.392</v>
      </c>
      <c r="C115" s="37" cm="1">
        <f t="array" ref="C115">IF(ROW()&lt;14,"",IFERROR(B115/INDEX($B:$B,ROW()-12)-1,""))</f>
        <v>-1.0156011968476264E-4</v>
      </c>
      <c r="D115" s="37" cm="1">
        <f t="array" ref="D115">IF(ROW()&lt;3,"NA",IFERROR(B115/INDEX($B:$B,ROW()-1)-1,"NA"))</f>
        <v>1.153763419832865E-3</v>
      </c>
      <c r="E115" s="37" cm="1">
        <f t="array" ref="E115">IF(ROW()&lt;5,"NA",IFERROR(B115/INDEX($B:$B,ROW()-3)-1,"NA"))</f>
        <v>-4.3282045098511635E-3</v>
      </c>
      <c r="F115" s="38">
        <f t="shared" si="1"/>
        <v>0.91156631380094744</v>
      </c>
    </row>
    <row r="116" spans="1:6">
      <c r="A116" s="9">
        <v>43617</v>
      </c>
      <c r="B116" s="10">
        <v>102.4375</v>
      </c>
      <c r="C116" s="37" cm="1">
        <f t="array" ref="C116">IF(ROW()&lt;14,"",IFERROR(B116/INDEX($B:$B,ROW()-12)-1,""))</f>
        <v>-7.3693288629623765E-3</v>
      </c>
      <c r="D116" s="37" cm="1">
        <f t="array" ref="D116">IF(ROW()&lt;3,"NA",IFERROR(B116/INDEX($B:$B,ROW()-1)-1,"NA"))</f>
        <v>4.4437065395741548E-4</v>
      </c>
      <c r="E116" s="37" cm="1">
        <f t="array" ref="E116">IF(ROW()&lt;5,"NA",IFERROR(B116/INDEX($B:$B,ROW()-3)-1,"NA"))</f>
        <v>-4.2595092913098043E-3</v>
      </c>
      <c r="F116" s="38">
        <f t="shared" si="1"/>
        <v>0.92500229241435372</v>
      </c>
    </row>
    <row r="117" spans="1:6">
      <c r="A117" s="9">
        <v>43647</v>
      </c>
      <c r="B117" s="10">
        <v>101.9408</v>
      </c>
      <c r="C117" s="37" cm="1">
        <f t="array" ref="C117">IF(ROW()&lt;14,"",IFERROR(B117/INDEX($B:$B,ROW()-12)-1,""))</f>
        <v>-1.3774541767684445E-2</v>
      </c>
      <c r="D117" s="37" cm="1">
        <f t="array" ref="D117">IF(ROW()&lt;3,"NA",IFERROR(B117/INDEX($B:$B,ROW()-1)-1,"NA"))</f>
        <v>-4.848810250152602E-3</v>
      </c>
      <c r="E117" s="37" cm="1">
        <f t="array" ref="E117">IF(ROW()&lt;5,"NA",IFERROR(B117/INDEX($B:$B,ROW()-3)-1,"NA"))</f>
        <v>-3.2579150126131884E-3</v>
      </c>
      <c r="F117" s="38">
        <f t="shared" si="1"/>
        <v>0.77832865335329082</v>
      </c>
    </row>
    <row r="118" spans="1:6">
      <c r="A118" s="9">
        <v>43678</v>
      </c>
      <c r="B118" s="10">
        <v>102.639</v>
      </c>
      <c r="C118" s="37" cm="1">
        <f t="array" ref="C118">IF(ROW()&lt;14,"",IFERROR(B118/INDEX($B:$B,ROW()-12)-1,""))</f>
        <v>-1.3396749291328724E-2</v>
      </c>
      <c r="D118" s="37" cm="1">
        <f t="array" ref="D118">IF(ROW()&lt;3,"NA",IFERROR(B118/INDEX($B:$B,ROW()-1)-1,"NA"))</f>
        <v>6.8490731875754385E-3</v>
      </c>
      <c r="E118" s="37" cm="1">
        <f t="array" ref="E118">IF(ROW()&lt;5,"NA",IFERROR(B118/INDEX($B:$B,ROW()-3)-1,"NA"))</f>
        <v>2.4122978357683511E-3</v>
      </c>
      <c r="F118" s="38">
        <f t="shared" si="1"/>
        <v>0.98450448341657504</v>
      </c>
    </row>
    <row r="119" spans="1:6">
      <c r="A119" s="9">
        <v>43709</v>
      </c>
      <c r="B119" s="10">
        <v>102.29170000000001</v>
      </c>
      <c r="C119" s="37" cm="1">
        <f t="array" ref="C119">IF(ROW()&lt;14,"",IFERROR(B119/INDEX($B:$B,ROW()-12)-1,""))</f>
        <v>-1.7374573008364869E-2</v>
      </c>
      <c r="D119" s="37" cm="1">
        <f t="array" ref="D119">IF(ROW()&lt;3,"NA",IFERROR(B119/INDEX($B:$B,ROW()-1)-1,"NA"))</f>
        <v>-3.3837040501173421E-3</v>
      </c>
      <c r="E119" s="37" cm="1">
        <f t="array" ref="E119">IF(ROW()&lt;5,"NA",IFERROR(B119/INDEX($B:$B,ROW()-3)-1,"NA"))</f>
        <v>-1.4233068944478067E-3</v>
      </c>
      <c r="F119" s="38">
        <f t="shared" si="1"/>
        <v>0.88194810160480686</v>
      </c>
    </row>
    <row r="120" spans="1:6">
      <c r="A120" s="9">
        <v>43739</v>
      </c>
      <c r="B120" s="10">
        <v>101.4281</v>
      </c>
      <c r="C120" s="37" cm="1">
        <f t="array" ref="C120">IF(ROW()&lt;14,"",IFERROR(B120/INDEX($B:$B,ROW()-12)-1,""))</f>
        <v>-2.4594751580988228E-2</v>
      </c>
      <c r="D120" s="37" cm="1">
        <f t="array" ref="D120">IF(ROW()&lt;3,"NA",IFERROR(B120/INDEX($B:$B,ROW()-1)-1,"NA"))</f>
        <v>-8.4425227071209807E-3</v>
      </c>
      <c r="E120" s="37" cm="1">
        <f t="array" ref="E120">IF(ROW()&lt;5,"NA",IFERROR(B120/INDEX($B:$B,ROW()-3)-1,"NA"))</f>
        <v>-5.0293896065166654E-3</v>
      </c>
      <c r="F120" s="38">
        <f t="shared" si="1"/>
        <v>0.62693027456004424</v>
      </c>
    </row>
    <row r="121" spans="1:6">
      <c r="A121" s="9">
        <v>43770</v>
      </c>
      <c r="B121" s="10">
        <v>101.9372</v>
      </c>
      <c r="C121" s="37" cm="1">
        <f t="array" ref="C121">IF(ROW()&lt;14,"",IFERROR(B121/INDEX($B:$B,ROW()-12)-1,""))</f>
        <v>-2.0476015224646149E-2</v>
      </c>
      <c r="D121" s="37" cm="1">
        <f t="array" ref="D121">IF(ROW()&lt;3,"NA",IFERROR(B121/INDEX($B:$B,ROW()-1)-1,"NA"))</f>
        <v>5.0193191038776508E-3</v>
      </c>
      <c r="E121" s="37" cm="1">
        <f t="array" ref="E121">IF(ROW()&lt;5,"NA",IFERROR(B121/INDEX($B:$B,ROW()-3)-1,"NA"))</f>
        <v>-6.8375568740925985E-3</v>
      </c>
      <c r="F121" s="38">
        <f t="shared" si="1"/>
        <v>0.77726558691355141</v>
      </c>
    </row>
    <row r="122" spans="1:6">
      <c r="A122" s="9">
        <v>43800</v>
      </c>
      <c r="B122" s="10">
        <v>101.7003</v>
      </c>
      <c r="C122" s="37" cm="1">
        <f t="array" ref="C122">IF(ROW()&lt;14,"",IFERROR(B122/INDEX($B:$B,ROW()-12)-1,""))</f>
        <v>-2.2991807373363926E-2</v>
      </c>
      <c r="D122" s="37" cm="1">
        <f t="array" ref="D122">IF(ROW()&lt;3,"NA",IFERROR(B122/INDEX($B:$B,ROW()-1)-1,"NA"))</f>
        <v>-2.3239798621111918E-3</v>
      </c>
      <c r="E122" s="37" cm="1">
        <f t="array" ref="E122">IF(ROW()&lt;5,"NA",IFERROR(B122/INDEX($B:$B,ROW()-3)-1,"NA"))</f>
        <v>-5.7815052443160875E-3</v>
      </c>
      <c r="F122" s="38">
        <f t="shared" si="1"/>
        <v>0.70730990925386483</v>
      </c>
    </row>
    <row r="123" spans="1:6">
      <c r="A123" s="9">
        <v>43831</v>
      </c>
      <c r="B123" s="10">
        <v>101.0338</v>
      </c>
      <c r="C123" s="37" cm="1">
        <f t="array" ref="C123">IF(ROW()&lt;14,"",IFERROR(B123/INDEX($B:$B,ROW()-12)-1,""))</f>
        <v>-2.2903790155132331E-2</v>
      </c>
      <c r="D123" s="37" cm="1">
        <f t="array" ref="D123">IF(ROW()&lt;3,"NA",IFERROR(B123/INDEX($B:$B,ROW()-1)-1,"NA"))</f>
        <v>-6.5535696551534128E-3</v>
      </c>
      <c r="E123" s="37" cm="1">
        <f t="array" ref="E123">IF(ROW()&lt;5,"NA",IFERROR(B123/INDEX($B:$B,ROW()-3)-1,"NA"))</f>
        <v>-3.8874828573146614E-3</v>
      </c>
      <c r="F123" s="38">
        <f t="shared" si="1"/>
        <v>0.51049496978497522</v>
      </c>
    </row>
    <row r="124" spans="1:6">
      <c r="A124" s="9">
        <v>43862</v>
      </c>
      <c r="B124" s="10">
        <v>101.37350000000001</v>
      </c>
      <c r="C124" s="37" cm="1">
        <f t="array" ref="C124">IF(ROW()&lt;14,"",IFERROR(B124/INDEX($B:$B,ROW()-12)-1,""))</f>
        <v>-1.4232217750208775E-2</v>
      </c>
      <c r="D124" s="37" cm="1">
        <f t="array" ref="D124">IF(ROW()&lt;3,"NA",IFERROR(B124/INDEX($B:$B,ROW()-1)-1,"NA"))</f>
        <v>3.3622411509812711E-3</v>
      </c>
      <c r="E124" s="37" cm="1">
        <f t="array" ref="E124">IF(ROW()&lt;5,"NA",IFERROR(B124/INDEX($B:$B,ROW()-3)-1,"NA"))</f>
        <v>-5.529875256530481E-3</v>
      </c>
      <c r="F124" s="38">
        <f t="shared" si="1"/>
        <v>0.61080710022396001</v>
      </c>
    </row>
    <row r="125" spans="1:6">
      <c r="A125" s="9">
        <v>43891</v>
      </c>
      <c r="B125" s="10">
        <v>97.407799999999995</v>
      </c>
      <c r="C125" s="37" cm="1">
        <f t="array" ref="C125">IF(ROW()&lt;14,"",IFERROR(B125/INDEX($B:$B,ROW()-12)-1,""))</f>
        <v>-5.3150549643890654E-2</v>
      </c>
      <c r="D125" s="37" cm="1">
        <f t="array" ref="D125">IF(ROW()&lt;3,"NA",IFERROR(B125/INDEX($B:$B,ROW()-1)-1,"NA"))</f>
        <v>-3.9119691043517424E-2</v>
      </c>
      <c r="E125" s="37" cm="1">
        <f t="array" ref="E125">IF(ROW()&lt;5,"NA",IFERROR(B125/INDEX($B:$B,ROW()-3)-1,"NA"))</f>
        <v>-4.2207348454232685E-2</v>
      </c>
      <c r="F125" s="38">
        <f t="shared" si="1"/>
        <v>-0.56024917202176983</v>
      </c>
    </row>
    <row r="126" spans="1:6">
      <c r="A126" s="9">
        <v>43922</v>
      </c>
      <c r="B126" s="10">
        <v>84.561899999999994</v>
      </c>
      <c r="C126" s="37" cm="1">
        <f t="array" ref="C126">IF(ROW()&lt;14,"",IFERROR(B126/INDEX($B:$B,ROW()-12)-1,""))</f>
        <v>-0.17318282261376305</v>
      </c>
      <c r="D126" s="37" cm="1">
        <f t="array" ref="D126">IF(ROW()&lt;3,"NA",IFERROR(B126/INDEX($B:$B,ROW()-1)-1,"NA"))</f>
        <v>-0.13187752931490082</v>
      </c>
      <c r="E126" s="37" cm="1">
        <f t="array" ref="E126">IF(ROW()&lt;5,"NA",IFERROR(B126/INDEX($B:$B,ROW()-3)-1,"NA"))</f>
        <v>-0.16303355906637185</v>
      </c>
      <c r="F126" s="38">
        <f t="shared" si="1"/>
        <v>-4.3535950548776023</v>
      </c>
    </row>
    <row r="127" spans="1:6">
      <c r="A127" s="9">
        <v>43952</v>
      </c>
      <c r="B127" s="10">
        <v>85.960400000000007</v>
      </c>
      <c r="C127" s="37" cm="1">
        <f t="array" ref="C127">IF(ROW()&lt;14,"",IFERROR(B127/INDEX($B:$B,ROW()-12)-1,""))</f>
        <v>-0.16047738104539411</v>
      </c>
      <c r="D127" s="37" cm="1">
        <f t="array" ref="D127">IF(ROW()&lt;3,"NA",IFERROR(B127/INDEX($B:$B,ROW()-1)-1,"NA"))</f>
        <v>1.6538180906531252E-2</v>
      </c>
      <c r="E127" s="37" cm="1">
        <f t="array" ref="E127">IF(ROW()&lt;5,"NA",IFERROR(B127/INDEX($B:$B,ROW()-3)-1,"NA"))</f>
        <v>-0.15204269360335787</v>
      </c>
      <c r="F127" s="38">
        <f t="shared" si="1"/>
        <v>-3.9406232726611803</v>
      </c>
    </row>
    <row r="128" spans="1:6">
      <c r="A128" s="9">
        <v>43983</v>
      </c>
      <c r="B128" s="10">
        <v>91.593400000000003</v>
      </c>
      <c r="C128" s="37" cm="1">
        <f t="array" ref="C128">IF(ROW()&lt;14,"",IFERROR(B128/INDEX($B:$B,ROW()-12)-1,""))</f>
        <v>-0.10586064673581452</v>
      </c>
      <c r="D128" s="37" cm="1">
        <f t="array" ref="D128">IF(ROW()&lt;3,"NA",IFERROR(B128/INDEX($B:$B,ROW()-1)-1,"NA"))</f>
        <v>6.5530174359356153E-2</v>
      </c>
      <c r="E128" s="37" cm="1">
        <f t="array" ref="E128">IF(ROW()&lt;5,"NA",IFERROR(B128/INDEX($B:$B,ROW()-3)-1,"NA"))</f>
        <v>-5.9691318354382239E-2</v>
      </c>
      <c r="F128" s="38">
        <f t="shared" si="1"/>
        <v>-2.2772195906983064</v>
      </c>
    </row>
    <row r="129" spans="1:6">
      <c r="A129" s="9">
        <v>44013</v>
      </c>
      <c r="B129" s="10">
        <v>95.025599999999997</v>
      </c>
      <c r="C129" s="37" cm="1">
        <f t="array" ref="C129">IF(ROW()&lt;14,"",IFERROR(B129/INDEX($B:$B,ROW()-12)-1,""))</f>
        <v>-6.7835449594274344E-2</v>
      </c>
      <c r="D129" s="37" cm="1">
        <f t="array" ref="D129">IF(ROW()&lt;3,"NA",IFERROR(B129/INDEX($B:$B,ROW()-1)-1,"NA"))</f>
        <v>3.7472132271539227E-2</v>
      </c>
      <c r="E129" s="37" cm="1">
        <f t="array" ref="E129">IF(ROW()&lt;5,"NA",IFERROR(B129/INDEX($B:$B,ROW()-3)-1,"NA"))</f>
        <v>0.12374012409844148</v>
      </c>
      <c r="F129" s="38">
        <f t="shared" si="1"/>
        <v>-1.2637038588976721</v>
      </c>
    </row>
    <row r="130" spans="1:6">
      <c r="A130" s="9">
        <v>44044</v>
      </c>
      <c r="B130" s="10">
        <v>95.954899999999995</v>
      </c>
      <c r="C130" s="37" cm="1">
        <f t="array" ref="C130">IF(ROW()&lt;14,"",IFERROR(B130/INDEX($B:$B,ROW()-12)-1,""))</f>
        <v>-6.5122419353267236E-2</v>
      </c>
      <c r="D130" s="37" cm="1">
        <f t="array" ref="D130">IF(ROW()&lt;3,"NA",IFERROR(B130/INDEX($B:$B,ROW()-1)-1,"NA"))</f>
        <v>9.7794699533599871E-3</v>
      </c>
      <c r="E130" s="37" cm="1">
        <f t="array" ref="E130">IF(ROW()&lt;5,"NA",IFERROR(B130/INDEX($B:$B,ROW()-3)-1,"NA"))</f>
        <v>0.11626865393832486</v>
      </c>
      <c r="F130" s="38">
        <f t="shared" si="1"/>
        <v>-0.98928506932762117</v>
      </c>
    </row>
    <row r="131" spans="1:6">
      <c r="A131" s="9">
        <v>44075</v>
      </c>
      <c r="B131" s="10">
        <v>95.966899999999995</v>
      </c>
      <c r="C131" s="37" cm="1">
        <f t="array" ref="C131">IF(ROW()&lt;14,"",IFERROR(B131/INDEX($B:$B,ROW()-12)-1,""))</f>
        <v>-6.1831018547937044E-2</v>
      </c>
      <c r="D131" s="37" cm="1">
        <f t="array" ref="D131">IF(ROW()&lt;3,"NA",IFERROR(B131/INDEX($B:$B,ROW()-1)-1,"NA"))</f>
        <v>1.25058751559326E-4</v>
      </c>
      <c r="E131" s="37" cm="1">
        <f t="array" ref="E131">IF(ROW()&lt;5,"NA",IFERROR(B131/INDEX($B:$B,ROW()-3)-1,"NA"))</f>
        <v>4.7749073623208682E-2</v>
      </c>
      <c r="F131" s="38">
        <f t="shared" si="1"/>
        <v>-0.98574151452848124</v>
      </c>
    </row>
    <row r="132" spans="1:6">
      <c r="A132" s="9">
        <v>44105</v>
      </c>
      <c r="B132" s="10">
        <v>96.739400000000003</v>
      </c>
      <c r="C132" s="37" cm="1">
        <f t="array" ref="C132">IF(ROW()&lt;14,"",IFERROR(B132/INDEX($B:$B,ROW()-12)-1,""))</f>
        <v>-4.6226834575428311E-2</v>
      </c>
      <c r="D132" s="37" cm="1">
        <f t="array" ref="D132">IF(ROW()&lt;3,"NA",IFERROR(B132/INDEX($B:$B,ROW()-1)-1,"NA"))</f>
        <v>8.0496504523956958E-3</v>
      </c>
      <c r="E132" s="37" cm="1">
        <f t="array" ref="E132">IF(ROW()&lt;5,"NA",IFERROR(B132/INDEX($B:$B,ROW()-3)-1,"NA"))</f>
        <v>1.8035140004377892E-2</v>
      </c>
      <c r="F132" s="38">
        <f t="shared" ref="F132:F195" si="2">IFERROR((B132-AVERAGE($B:$B))/_xlfn.STDEV.S($B:$B),"")</f>
        <v>-0.75762517433385412</v>
      </c>
    </row>
    <row r="133" spans="1:6">
      <c r="A133" s="9">
        <v>44136</v>
      </c>
      <c r="B133" s="10">
        <v>97.081599999999995</v>
      </c>
      <c r="C133" s="37" cm="1">
        <f t="array" ref="C133">IF(ROW()&lt;14,"",IFERROR(B133/INDEX($B:$B,ROW()-12)-1,""))</f>
        <v>-4.7633248706066222E-2</v>
      </c>
      <c r="D133" s="37" cm="1">
        <f t="array" ref="D133">IF(ROW()&lt;3,"NA",IFERROR(B133/INDEX($B:$B,ROW()-1)-1,"NA"))</f>
        <v>3.5373384577535028E-3</v>
      </c>
      <c r="E133" s="37" cm="1">
        <f t="array" ref="E133">IF(ROW()&lt;5,"NA",IFERROR(B133/INDEX($B:$B,ROW()-3)-1,"NA"))</f>
        <v>1.1741974615157691E-2</v>
      </c>
      <c r="F133" s="38">
        <f t="shared" si="2"/>
        <v>-0.65657480331172013</v>
      </c>
    </row>
    <row r="134" spans="1:6">
      <c r="A134" s="9">
        <v>44166</v>
      </c>
      <c r="B134" s="10">
        <v>98.363</v>
      </c>
      <c r="C134" s="37" cm="1">
        <f t="array" ref="C134">IF(ROW()&lt;14,"",IFERROR(B134/INDEX($B:$B,ROW()-12)-1,""))</f>
        <v>-3.2815045776659502E-2</v>
      </c>
      <c r="D134" s="37" cm="1">
        <f t="array" ref="D134">IF(ROW()&lt;3,"NA",IFERROR(B134/INDEX($B:$B,ROW()-1)-1,"NA"))</f>
        <v>1.3199205616718279E-2</v>
      </c>
      <c r="E134" s="37" cm="1">
        <f t="array" ref="E134">IF(ROW()&lt;5,"NA",IFERROR(B134/INDEX($B:$B,ROW()-3)-1,"NA"))</f>
        <v>2.496798375273146E-2</v>
      </c>
      <c r="F134" s="38">
        <f t="shared" si="2"/>
        <v>-0.27818221001024007</v>
      </c>
    </row>
    <row r="135" spans="1:6">
      <c r="A135" s="9">
        <v>44197</v>
      </c>
      <c r="B135" s="10">
        <v>98.882199999999997</v>
      </c>
      <c r="C135" s="37" cm="1">
        <f t="array" ref="C135">IF(ROW()&lt;14,"",IFERROR(B135/INDEX($B:$B,ROW()-12)-1,""))</f>
        <v>-2.1295843569181794E-2</v>
      </c>
      <c r="D135" s="37" cm="1">
        <f t="array" ref="D135">IF(ROW()&lt;3,"NA",IFERROR(B135/INDEX($B:$B,ROW()-1)-1,"NA"))</f>
        <v>5.2784075312870549E-3</v>
      </c>
      <c r="E135" s="37" cm="1">
        <f t="array" ref="E135">IF(ROW()&lt;5,"NA",IFERROR(B135/INDEX($B:$B,ROW()-3)-1,"NA"))</f>
        <v>2.2150230412841143E-2</v>
      </c>
      <c r="F135" s="38">
        <f t="shared" si="2"/>
        <v>-0.12486440570079192</v>
      </c>
    </row>
    <row r="136" spans="1:6">
      <c r="A136" s="9">
        <v>44228</v>
      </c>
      <c r="B136" s="10">
        <v>95.614900000000006</v>
      </c>
      <c r="C136" s="37" cm="1">
        <f t="array" ref="C136">IF(ROW()&lt;14,"",IFERROR(B136/INDEX($B:$B,ROW()-12)-1,""))</f>
        <v>-5.6805772711803426E-2</v>
      </c>
      <c r="D136" s="37" cm="1">
        <f t="array" ref="D136">IF(ROW()&lt;3,"NA",IFERROR(B136/INDEX($B:$B,ROW()-1)-1,"NA"))</f>
        <v>-3.3042347358776314E-2</v>
      </c>
      <c r="E136" s="37" cm="1">
        <f t="array" ref="E136">IF(ROW()&lt;5,"NA",IFERROR(B136/INDEX($B:$B,ROW()-3)-1,"NA"))</f>
        <v>-1.5107909222756843E-2</v>
      </c>
      <c r="F136" s="38">
        <f t="shared" si="2"/>
        <v>-1.0896857886365792</v>
      </c>
    </row>
    <row r="137" spans="1:6">
      <c r="A137" s="9">
        <v>44256</v>
      </c>
      <c r="B137" s="10">
        <v>98.385599999999997</v>
      </c>
      <c r="C137" s="37" cm="1">
        <f t="array" ref="C137">IF(ROW()&lt;14,"",IFERROR(B137/INDEX($B:$B,ROW()-12)-1,""))</f>
        <v>1.0038210492383515E-2</v>
      </c>
      <c r="D137" s="37" cm="1">
        <f t="array" ref="D137">IF(ROW()&lt;3,"NA",IFERROR(B137/INDEX($B:$B,ROW()-1)-1,"NA"))</f>
        <v>2.8977701174189185E-2</v>
      </c>
      <c r="E137" s="37" cm="1">
        <f t="array" ref="E137">IF(ROW()&lt;5,"NA",IFERROR(B137/INDEX($B:$B,ROW()-3)-1,"NA"))</f>
        <v>2.2976119069162415E-4</v>
      </c>
      <c r="F137" s="38">
        <f t="shared" si="2"/>
        <v>-0.27150851513852764</v>
      </c>
    </row>
    <row r="138" spans="1:6">
      <c r="A138" s="9">
        <v>44287</v>
      </c>
      <c r="B138" s="10">
        <v>98.558700000000002</v>
      </c>
      <c r="C138" s="37" cm="1">
        <f t="array" ref="C138">IF(ROW()&lt;14,"",IFERROR(B138/INDEX($B:$B,ROW()-12)-1,""))</f>
        <v>0.16552135181446981</v>
      </c>
      <c r="D138" s="37" cm="1">
        <f t="array" ref="D138">IF(ROW()&lt;3,"NA",IFERROR(B138/INDEX($B:$B,ROW()-1)-1,"NA"))</f>
        <v>1.7594038151924618E-3</v>
      </c>
      <c r="E138" s="37" cm="1">
        <f t="array" ref="E138">IF(ROW()&lt;5,"NA",IFERROR(B138/INDEX($B:$B,ROW()-3)-1,"NA"))</f>
        <v>-3.2715696050451548E-3</v>
      </c>
      <c r="F138" s="38">
        <f t="shared" si="2"/>
        <v>-0.22039273716093447</v>
      </c>
    </row>
    <row r="139" spans="1:6">
      <c r="A139" s="9">
        <v>44317</v>
      </c>
      <c r="B139" s="10">
        <v>99.433300000000003</v>
      </c>
      <c r="C139" s="37" cm="1">
        <f t="array" ref="C139">IF(ROW()&lt;14,"",IFERROR(B139/INDEX($B:$B,ROW()-12)-1,""))</f>
        <v>0.15673379835366053</v>
      </c>
      <c r="D139" s="37" cm="1">
        <f t="array" ref="D139">IF(ROW()&lt;3,"NA",IFERROR(B139/INDEX($B:$B,ROW()-1)-1,"NA"))</f>
        <v>8.873899513690775E-3</v>
      </c>
      <c r="E139" s="37" cm="1">
        <f t="array" ref="E139">IF(ROW()&lt;5,"NA",IFERROR(B139/INDEX($B:$B,ROW()-3)-1,"NA"))</f>
        <v>3.9935198384352111E-2</v>
      </c>
      <c r="F139" s="38">
        <f t="shared" si="2"/>
        <v>3.7873348449705045E-2</v>
      </c>
    </row>
    <row r="140" spans="1:6">
      <c r="A140" s="9">
        <v>44348</v>
      </c>
      <c r="B140" s="10">
        <v>99.798699999999997</v>
      </c>
      <c r="C140" s="37" cm="1">
        <f t="array" ref="C140">IF(ROW()&lt;14,"",IFERROR(B140/INDEX($B:$B,ROW()-12)-1,""))</f>
        <v>8.9583965656914177E-2</v>
      </c>
      <c r="D140" s="37" cm="1">
        <f t="array" ref="D140">IF(ROW()&lt;3,"NA",IFERROR(B140/INDEX($B:$B,ROW()-1)-1,"NA"))</f>
        <v>3.6748252346043841E-3</v>
      </c>
      <c r="E140" s="37" cm="1">
        <f t="array" ref="E140">IF(ROW()&lt;5,"NA",IFERROR(B140/INDEX($B:$B,ROW()-3)-1,"NA"))</f>
        <v>1.4362874241758972E-2</v>
      </c>
      <c r="F140" s="38">
        <f t="shared" si="2"/>
        <v>0.14577459208351023</v>
      </c>
    </row>
    <row r="141" spans="1:6">
      <c r="A141" s="9">
        <v>44378</v>
      </c>
      <c r="B141" s="10">
        <v>100.25190000000001</v>
      </c>
      <c r="C141" s="37" cm="1">
        <f t="array" ref="C141">IF(ROW()&lt;14,"",IFERROR(B141/INDEX($B:$B,ROW()-12)-1,""))</f>
        <v>5.4998863464161385E-2</v>
      </c>
      <c r="D141" s="37" cm="1">
        <f t="array" ref="D141">IF(ROW()&lt;3,"NA",IFERROR(B141/INDEX($B:$B,ROW()-1)-1,"NA"))</f>
        <v>4.5411413174720749E-3</v>
      </c>
      <c r="E141" s="37" cm="1">
        <f t="array" ref="E141">IF(ROW()&lt;5,"NA",IFERROR(B141/INDEX($B:$B,ROW()-3)-1,"NA"))</f>
        <v>1.7179609714819799E-2</v>
      </c>
      <c r="F141" s="38">
        <f t="shared" si="2"/>
        <v>0.27960284499769295</v>
      </c>
    </row>
    <row r="142" spans="1:6">
      <c r="A142" s="9">
        <v>44409</v>
      </c>
      <c r="B142" s="10">
        <v>100.0437</v>
      </c>
      <c r="C142" s="37" cm="1">
        <f t="array" ref="C142">IF(ROW()&lt;14,"",IFERROR(B142/INDEX($B:$B,ROW()-12)-1,""))</f>
        <v>4.2611685281314537E-2</v>
      </c>
      <c r="D142" s="37" cm="1">
        <f t="array" ref="D142">IF(ROW()&lt;3,"NA",IFERROR(B142/INDEX($B:$B,ROW()-1)-1,"NA"))</f>
        <v>-2.0767686198466251E-3</v>
      </c>
      <c r="E142" s="37" cm="1">
        <f t="array" ref="E142">IF(ROW()&lt;5,"NA",IFERROR(B142/INDEX($B:$B,ROW()-3)-1,"NA"))</f>
        <v>6.1387885145116616E-3</v>
      </c>
      <c r="F142" s="38">
        <f t="shared" si="2"/>
        <v>0.21812216923261588</v>
      </c>
    </row>
    <row r="143" spans="1:6">
      <c r="A143" s="9">
        <v>44440</v>
      </c>
      <c r="B143" s="10">
        <v>98.857900000000001</v>
      </c>
      <c r="C143" s="37" cm="1">
        <f t="array" ref="C143">IF(ROW()&lt;14,"",IFERROR(B143/INDEX($B:$B,ROW()-12)-1,""))</f>
        <v>3.0124970172007215E-2</v>
      </c>
      <c r="D143" s="37" cm="1">
        <f t="array" ref="D143">IF(ROW()&lt;3,"NA",IFERROR(B143/INDEX($B:$B,ROW()-1)-1,"NA"))</f>
        <v>-1.1852820317521218E-2</v>
      </c>
      <c r="E143" s="37" cm="1">
        <f t="array" ref="E143">IF(ROW()&lt;5,"NA",IFERROR(B143/INDEX($B:$B,ROW()-3)-1,"NA"))</f>
        <v>-9.4269765037019448E-3</v>
      </c>
      <c r="F143" s="38">
        <f t="shared" si="2"/>
        <v>-0.13204010416904904</v>
      </c>
    </row>
    <row r="144" spans="1:6">
      <c r="A144" s="9">
        <v>44470</v>
      </c>
      <c r="B144" s="10">
        <v>100.1861</v>
      </c>
      <c r="C144" s="37" cm="1">
        <f t="array" ref="C144">IF(ROW()&lt;14,"",IFERROR(B144/INDEX($B:$B,ROW()-12)-1,""))</f>
        <v>3.5628709708763973E-2</v>
      </c>
      <c r="D144" s="37" cm="1">
        <f t="array" ref="D144">IF(ROW()&lt;3,"NA",IFERROR(B144/INDEX($B:$B,ROW()-1)-1,"NA"))</f>
        <v>1.3435446231408799E-2</v>
      </c>
      <c r="E144" s="37" cm="1">
        <f t="array" ref="E144">IF(ROW()&lt;5,"NA",IFERROR(B144/INDEX($B:$B,ROW()-3)-1,"NA"))</f>
        <v>-6.563466627566017E-4</v>
      </c>
      <c r="F144" s="38">
        <f t="shared" si="2"/>
        <v>0.26017235284907336</v>
      </c>
    </row>
    <row r="145" spans="1:6">
      <c r="A145" s="9">
        <v>44501</v>
      </c>
      <c r="B145" s="10">
        <v>100.86539999999999</v>
      </c>
      <c r="C145" s="37" cm="1">
        <f t="array" ref="C145">IF(ROW()&lt;14,"",IFERROR(B145/INDEX($B:$B,ROW()-12)-1,""))</f>
        <v>3.8975459819368341E-2</v>
      </c>
      <c r="D145" s="37" cm="1">
        <f t="array" ref="D145">IF(ROW()&lt;3,"NA",IFERROR(B145/INDEX($B:$B,ROW()-1)-1,"NA"))</f>
        <v>6.7803817096383501E-3</v>
      </c>
      <c r="E145" s="37" cm="1">
        <f t="array" ref="E145">IF(ROW()&lt;5,"NA",IFERROR(B145/INDEX($B:$B,ROW()-3)-1,"NA"))</f>
        <v>8.2134107395066547E-3</v>
      </c>
      <c r="F145" s="38">
        <f t="shared" si="2"/>
        <v>0.4607670841037117</v>
      </c>
    </row>
    <row r="146" spans="1:6">
      <c r="A146" s="9">
        <v>44531</v>
      </c>
      <c r="B146" s="10">
        <v>100.57259999999999</v>
      </c>
      <c r="C146" s="37" cm="1">
        <f t="array" ref="C146">IF(ROW()&lt;14,"",IFERROR(B146/INDEX($B:$B,ROW()-12)-1,""))</f>
        <v>2.2463731281071153E-2</v>
      </c>
      <c r="D146" s="37" cm="1">
        <f t="array" ref="D146">IF(ROW()&lt;3,"NA",IFERROR(B146/INDEX($B:$B,ROW()-1)-1,"NA"))</f>
        <v>-2.902878489551397E-3</v>
      </c>
      <c r="E146" s="37" cm="1">
        <f t="array" ref="E146">IF(ROW()&lt;5,"NA",IFERROR(B146/INDEX($B:$B,ROW()-3)-1,"NA"))</f>
        <v>1.7345098368466205E-2</v>
      </c>
      <c r="F146" s="38">
        <f t="shared" si="2"/>
        <v>0.37430434700470061</v>
      </c>
    </row>
    <row r="147" spans="1:6">
      <c r="A147" s="9">
        <v>44562</v>
      </c>
      <c r="B147" s="10">
        <v>100.18559999999999</v>
      </c>
      <c r="C147" s="37" cm="1">
        <f t="array" ref="C147">IF(ROW()&lt;14,"",IFERROR(B147/INDEX($B:$B,ROW()-12)-1,""))</f>
        <v>1.3181341030033655E-2</v>
      </c>
      <c r="D147" s="37" cm="1">
        <f t="array" ref="D147">IF(ROW()&lt;3,"NA",IFERROR(B147/INDEX($B:$B,ROW()-1)-1,"NA"))</f>
        <v>-3.8479665435715571E-3</v>
      </c>
      <c r="E147" s="37" cm="1">
        <f t="array" ref="E147">IF(ROW()&lt;5,"NA",IFERROR(B147/INDEX($B:$B,ROW()-3)-1,"NA"))</f>
        <v>-4.9907122844361496E-6</v>
      </c>
      <c r="F147" s="38">
        <f t="shared" si="2"/>
        <v>0.26002470473244182</v>
      </c>
    </row>
    <row r="148" spans="1:6">
      <c r="A148" s="9">
        <v>44593</v>
      </c>
      <c r="B148" s="10">
        <v>100.8064</v>
      </c>
      <c r="C148" s="37" cm="1">
        <f t="array" ref="C148">IF(ROW()&lt;14,"",IFERROR(B148/INDEX($B:$B,ROW()-12)-1,""))</f>
        <v>5.4295930864331821E-2</v>
      </c>
      <c r="D148" s="37" cm="1">
        <f t="array" ref="D148">IF(ROW()&lt;3,"NA",IFERROR(B148/INDEX($B:$B,ROW()-1)-1,"NA"))</f>
        <v>6.1964992973042587E-3</v>
      </c>
      <c r="E148" s="37" cm="1">
        <f t="array" ref="E148">IF(ROW()&lt;5,"NA",IFERROR(B148/INDEX($B:$B,ROW()-3)-1,"NA"))</f>
        <v>-5.8493794700653634E-4</v>
      </c>
      <c r="F148" s="38">
        <f t="shared" si="2"/>
        <v>0.44334460634127509</v>
      </c>
    </row>
    <row r="149" spans="1:6">
      <c r="A149" s="9">
        <v>44621</v>
      </c>
      <c r="B149" s="10">
        <v>101.3907</v>
      </c>
      <c r="C149" s="37" cm="1">
        <f t="array" ref="C149">IF(ROW()&lt;14,"",IFERROR(B149/INDEX($B:$B,ROW()-12)-1,""))</f>
        <v>3.0544104015221674E-2</v>
      </c>
      <c r="D149" s="37" cm="1">
        <f t="array" ref="D149">IF(ROW()&lt;3,"NA",IFERROR(B149/INDEX($B:$B,ROW()-1)-1,"NA"))</f>
        <v>5.7962589676845422E-3</v>
      </c>
      <c r="E149" s="37" cm="1">
        <f t="array" ref="E149">IF(ROW()&lt;5,"NA",IFERROR(B149/INDEX($B:$B,ROW()-3)-1,"NA"))</f>
        <v>8.1344222979220504E-3</v>
      </c>
      <c r="F149" s="38">
        <f t="shared" si="2"/>
        <v>0.61588619543605694</v>
      </c>
    </row>
    <row r="150" spans="1:6">
      <c r="A150" s="9">
        <v>44652</v>
      </c>
      <c r="B150" s="10">
        <v>101.44</v>
      </c>
      <c r="C150" s="37" cm="1">
        <f t="array" ref="C150">IF(ROW()&lt;14,"",IFERROR(B150/INDEX($B:$B,ROW()-12)-1,""))</f>
        <v>2.9234354755085068E-2</v>
      </c>
      <c r="D150" s="37" cm="1">
        <f t="array" ref="D150">IF(ROW()&lt;3,"NA",IFERROR(B150/INDEX($B:$B,ROW()-1)-1,"NA"))</f>
        <v>4.8623788966839498E-4</v>
      </c>
      <c r="E150" s="37" cm="1">
        <f t="array" ref="E150">IF(ROW()&lt;5,"NA",IFERROR(B150/INDEX($B:$B,ROW()-3)-1,"NA"))</f>
        <v>1.2520761466717767E-2</v>
      </c>
      <c r="F150" s="38">
        <f t="shared" si="2"/>
        <v>0.63044429973585703</v>
      </c>
    </row>
    <row r="151" spans="1:6">
      <c r="A151" s="9">
        <v>44682</v>
      </c>
      <c r="B151" s="10">
        <v>101.3335</v>
      </c>
      <c r="C151" s="37" cm="1">
        <f t="array" ref="C151">IF(ROW()&lt;14,"",IFERROR(B151/INDEX($B:$B,ROW()-12)-1,""))</f>
        <v>1.9110298059100916E-2</v>
      </c>
      <c r="D151" s="37" cm="1">
        <f t="array" ref="D151">IF(ROW()&lt;3,"NA",IFERROR(B151/INDEX($B:$B,ROW()-1)-1,"NA"))</f>
        <v>-1.0498817034699792E-3</v>
      </c>
      <c r="E151" s="37" cm="1">
        <f t="array" ref="E151">IF(ROW()&lt;5,"NA",IFERROR(B151/INDEX($B:$B,ROW()-3)-1,"NA"))</f>
        <v>5.2288346771633964E-3</v>
      </c>
      <c r="F151" s="38">
        <f t="shared" si="2"/>
        <v>0.59899525089349215</v>
      </c>
    </row>
    <row r="152" spans="1:6">
      <c r="A152" s="9">
        <v>44713</v>
      </c>
      <c r="B152" s="10">
        <v>101.018</v>
      </c>
      <c r="C152" s="37" cm="1">
        <f t="array" ref="C152">IF(ROW()&lt;14,"",IFERROR(B152/INDEX($B:$B,ROW()-12)-1,""))</f>
        <v>1.2217594016755706E-2</v>
      </c>
      <c r="D152" s="37" cm="1">
        <f t="array" ref="D152">IF(ROW()&lt;3,"NA",IFERROR(B152/INDEX($B:$B,ROW()-1)-1,"NA"))</f>
        <v>-3.1134817212471466E-3</v>
      </c>
      <c r="E152" s="37" cm="1">
        <f t="array" ref="E152">IF(ROW()&lt;5,"NA",IFERROR(B152/INDEX($B:$B,ROW()-3)-1,"NA"))</f>
        <v>-3.6758795431928171E-3</v>
      </c>
      <c r="F152" s="38">
        <f t="shared" si="2"/>
        <v>0.50582928929944149</v>
      </c>
    </row>
    <row r="153" spans="1:6">
      <c r="A153" s="9">
        <v>44743</v>
      </c>
      <c r="B153" s="10">
        <v>101.223</v>
      </c>
      <c r="C153" s="37" cm="1">
        <f t="array" ref="C153">IF(ROW()&lt;14,"",IFERROR(B153/INDEX($B:$B,ROW()-12)-1,""))</f>
        <v>9.6865994559702795E-3</v>
      </c>
      <c r="D153" s="37" cm="1">
        <f t="array" ref="D153">IF(ROW()&lt;3,"NA",IFERROR(B153/INDEX($B:$B,ROW()-1)-1,"NA"))</f>
        <v>2.029341305509913E-3</v>
      </c>
      <c r="E153" s="37" cm="1">
        <f t="array" ref="E153">IF(ROW()&lt;5,"NA",IFERROR(B153/INDEX($B:$B,ROW()-3)-1,"NA"))</f>
        <v>-2.1391955835962095E-3</v>
      </c>
      <c r="F153" s="38">
        <f t="shared" si="2"/>
        <v>0.56636501711807929</v>
      </c>
    </row>
    <row r="154" spans="1:6">
      <c r="A154" s="9">
        <v>44774</v>
      </c>
      <c r="B154" s="10">
        <v>101.0963</v>
      </c>
      <c r="C154" s="37" cm="1">
        <f t="array" ref="C154">IF(ROW()&lt;14,"",IFERROR(B154/INDEX($B:$B,ROW()-12)-1,""))</f>
        <v>1.0521402147261716E-2</v>
      </c>
      <c r="D154" s="37" cm="1">
        <f t="array" ref="D154">IF(ROW()&lt;3,"NA",IFERROR(B154/INDEX($B:$B,ROW()-1)-1,"NA"))</f>
        <v>-1.2516918091738383E-3</v>
      </c>
      <c r="E154" s="37" cm="1">
        <f t="array" ref="E154">IF(ROW()&lt;5,"NA",IFERROR(B154/INDEX($B:$B,ROW()-3)-1,"NA"))</f>
        <v>-2.340785623707875E-3</v>
      </c>
      <c r="F154" s="38">
        <f t="shared" si="2"/>
        <v>0.52895098436382837</v>
      </c>
    </row>
    <row r="155" spans="1:6">
      <c r="A155" s="9">
        <v>44805</v>
      </c>
      <c r="B155" s="10">
        <v>101.29179999999999</v>
      </c>
      <c r="C155" s="37" cm="1">
        <f t="array" ref="C155">IF(ROW()&lt;14,"",IFERROR(B155/INDEX($B:$B,ROW()-12)-1,""))</f>
        <v>2.4620187157526008E-2</v>
      </c>
      <c r="D155" s="37" cm="1">
        <f t="array" ref="D155">IF(ROW()&lt;3,"NA",IFERROR(B155/INDEX($B:$B,ROW()-1)-1,"NA"))</f>
        <v>1.9337997533044327E-3</v>
      </c>
      <c r="E155" s="37" cm="1">
        <f t="array" ref="E155">IF(ROW()&lt;5,"NA",IFERROR(B155/INDEX($B:$B,ROW()-3)-1,"NA"))</f>
        <v>2.7104080460906843E-3</v>
      </c>
      <c r="F155" s="38">
        <f t="shared" si="2"/>
        <v>0.58668139796647967</v>
      </c>
    </row>
    <row r="156" spans="1:6">
      <c r="A156" s="9">
        <v>44835</v>
      </c>
      <c r="B156" s="10">
        <v>101.2529</v>
      </c>
      <c r="C156" s="37" cm="1">
        <f t="array" ref="C156">IF(ROW()&lt;14,"",IFERROR(B156/INDEX($B:$B,ROW()-12)-1,""))</f>
        <v>1.0648183730078253E-2</v>
      </c>
      <c r="D156" s="37" cm="1">
        <f t="array" ref="D156">IF(ROW()&lt;3,"NA",IFERROR(B156/INDEX($B:$B,ROW()-1)-1,"NA"))</f>
        <v>-3.8403898439953732E-4</v>
      </c>
      <c r="E156" s="37" cm="1">
        <f t="array" ref="E156">IF(ROW()&lt;5,"NA",IFERROR(B156/INDEX($B:$B,ROW()-3)-1,"NA"))</f>
        <v>2.9538741195178631E-4</v>
      </c>
      <c r="F156" s="38">
        <f t="shared" si="2"/>
        <v>0.57519437449260202</v>
      </c>
    </row>
    <row r="157" spans="1:6">
      <c r="A157" s="9">
        <v>44866</v>
      </c>
      <c r="B157" s="10">
        <v>100.9552</v>
      </c>
      <c r="C157" s="37" cm="1">
        <f t="array" ref="C157">IF(ROW()&lt;14,"",IFERROR(B157/INDEX($B:$B,ROW()-12)-1,""))</f>
        <v>8.9029538374907347E-4</v>
      </c>
      <c r="D157" s="37" cm="1">
        <f t="array" ref="D157">IF(ROW()&lt;3,"NA",IFERROR(B157/INDEX($B:$B,ROW()-1)-1,"NA"))</f>
        <v>-2.9401627015126497E-3</v>
      </c>
      <c r="E157" s="37" cm="1">
        <f t="array" ref="E157">IF(ROW()&lt;5,"NA",IFERROR(B157/INDEX($B:$B,ROW()-3)-1,"NA"))</f>
        <v>-1.3956989523848939E-3</v>
      </c>
      <c r="F157" s="38">
        <f t="shared" si="2"/>
        <v>0.48728468585061113</v>
      </c>
    </row>
    <row r="158" spans="1:6">
      <c r="A158" s="9">
        <v>44896</v>
      </c>
      <c r="B158" s="10">
        <v>99.766400000000004</v>
      </c>
      <c r="C158" s="37" cm="1">
        <f t="array" ref="C158">IF(ROW()&lt;14,"",IFERROR(B158/INDEX($B:$B,ROW()-12)-1,""))</f>
        <v>-8.0160998124736427E-3</v>
      </c>
      <c r="D158" s="37" cm="1">
        <f t="array" ref="D158">IF(ROW()&lt;3,"NA",IFERROR(B158/INDEX($B:$B,ROW()-1)-1,"NA"))</f>
        <v>-1.1775520230755787E-2</v>
      </c>
      <c r="E158" s="37" cm="1">
        <f t="array" ref="E158">IF(ROW()&lt;5,"NA",IFERROR(B158/INDEX($B:$B,ROW()-3)-1,"NA"))</f>
        <v>-1.5059461871543278E-2</v>
      </c>
      <c r="F158" s="38">
        <f t="shared" si="2"/>
        <v>0.13623652374916123</v>
      </c>
    </row>
    <row r="159" spans="1:6">
      <c r="A159" s="9">
        <v>44927</v>
      </c>
      <c r="B159" s="10">
        <v>100.505</v>
      </c>
      <c r="C159" s="37" cm="1">
        <f t="array" ref="C159">IF(ROW()&lt;14,"",IFERROR(B159/INDEX($B:$B,ROW()-12)-1,""))</f>
        <v>3.1880829181039072E-3</v>
      </c>
      <c r="D159" s="37" cm="1">
        <f t="array" ref="D159">IF(ROW()&lt;3,"NA",IFERROR(B159/INDEX($B:$B,ROW()-1)-1,"NA"))</f>
        <v>7.4032940950059523E-3</v>
      </c>
      <c r="E159" s="37" cm="1">
        <f t="array" ref="E159">IF(ROW()&lt;5,"NA",IFERROR(B159/INDEX($B:$B,ROW()-3)-1,"NA"))</f>
        <v>-7.3864551040019322E-3</v>
      </c>
      <c r="F159" s="38">
        <f t="shared" si="2"/>
        <v>0.35434232163621343</v>
      </c>
    </row>
    <row r="160" spans="1:6">
      <c r="A160" s="9">
        <v>44958</v>
      </c>
      <c r="B160" s="10">
        <v>100.6416</v>
      </c>
      <c r="C160" s="37" cm="1">
        <f t="array" ref="C160">IF(ROW()&lt;14,"",IFERROR(B160/INDEX($B:$B,ROW()-12)-1,""))</f>
        <v>-1.634816837026265E-3</v>
      </c>
      <c r="D160" s="37" cm="1">
        <f t="array" ref="D160">IF(ROW()&lt;3,"NA",IFERROR(B160/INDEX($B:$B,ROW()-1)-1,"NA"))</f>
        <v>1.3591363613749685E-3</v>
      </c>
      <c r="E160" s="37" cm="1">
        <f t="array" ref="E160">IF(ROW()&lt;5,"NA",IFERROR(B160/INDEX($B:$B,ROW()-3)-1,"NA"))</f>
        <v>-3.106328351585752E-3</v>
      </c>
      <c r="F160" s="38">
        <f t="shared" si="2"/>
        <v>0.39467978709975521</v>
      </c>
    </row>
    <row r="161" spans="1:6">
      <c r="A161" s="9">
        <v>44986</v>
      </c>
      <c r="B161" s="10">
        <v>101.0205</v>
      </c>
      <c r="C161" s="37" cm="1">
        <f t="array" ref="C161">IF(ROW()&lt;14,"",IFERROR(B161/INDEX($B:$B,ROW()-12)-1,""))</f>
        <v>-3.6512224493961964E-3</v>
      </c>
      <c r="D161" s="37" cm="1">
        <f t="array" ref="D161">IF(ROW()&lt;3,"NA",IFERROR(B161/INDEX($B:$B,ROW()-1)-1,"NA"))</f>
        <v>3.7648447560452158E-3</v>
      </c>
      <c r="E161" s="37" cm="1">
        <f t="array" ref="E161">IF(ROW()&lt;5,"NA",IFERROR(B161/INDEX($B:$B,ROW()-3)-1,"NA"))</f>
        <v>1.2570364371170983E-2</v>
      </c>
      <c r="F161" s="38">
        <f t="shared" si="2"/>
        <v>0.5065675298825949</v>
      </c>
    </row>
    <row r="162" spans="1:6">
      <c r="A162" s="9">
        <v>45017</v>
      </c>
      <c r="B162" s="10">
        <v>101.253</v>
      </c>
      <c r="C162" s="37" cm="1">
        <f t="array" ref="C162">IF(ROW()&lt;14,"",IFERROR(B162/INDEX($B:$B,ROW()-12)-1,""))</f>
        <v>-1.843454258675048E-3</v>
      </c>
      <c r="D162" s="37" cm="1">
        <f t="array" ref="D162">IF(ROW()&lt;3,"NA",IFERROR(B162/INDEX($B:$B,ROW()-1)-1,"NA"))</f>
        <v>2.3015130592305422E-3</v>
      </c>
      <c r="E162" s="37" cm="1">
        <f t="array" ref="E162">IF(ROW()&lt;5,"NA",IFERROR(B162/INDEX($B:$B,ROW()-3)-1,"NA"))</f>
        <v>7.4424158002091012E-3</v>
      </c>
      <c r="F162" s="38">
        <f t="shared" si="2"/>
        <v>0.57522390411592916</v>
      </c>
    </row>
    <row r="163" spans="1:6">
      <c r="A163" s="9">
        <v>45047</v>
      </c>
      <c r="B163" s="10">
        <v>100.9286</v>
      </c>
      <c r="C163" s="37" cm="1">
        <f t="array" ref="C163">IF(ROW()&lt;14,"",IFERROR(B163/INDEX($B:$B,ROW()-12)-1,""))</f>
        <v>-3.9957171123073953E-3</v>
      </c>
      <c r="D163" s="37" cm="1">
        <f t="array" ref="D163">IF(ROW()&lt;3,"NA",IFERROR(B163/INDEX($B:$B,ROW()-1)-1,"NA"))</f>
        <v>-3.2038556882264535E-3</v>
      </c>
      <c r="E163" s="37" cm="1">
        <f t="array" ref="E163">IF(ROW()&lt;5,"NA",IFERROR(B163/INDEX($B:$B,ROW()-3)-1,"NA"))</f>
        <v>2.8517034705330957E-3</v>
      </c>
      <c r="F163" s="38">
        <f t="shared" si="2"/>
        <v>0.47942980604585067</v>
      </c>
    </row>
    <row r="164" spans="1:6">
      <c r="A164" s="9">
        <v>45078</v>
      </c>
      <c r="B164" s="10">
        <v>100.11960000000001</v>
      </c>
      <c r="C164" s="37" cm="1">
        <f t="array" ref="C164">IF(ROW()&lt;14,"",IFERROR(B164/INDEX($B:$B,ROW()-12)-1,""))</f>
        <v>-8.8934645310736471E-3</v>
      </c>
      <c r="D164" s="37" cm="1">
        <f t="array" ref="D164">IF(ROW()&lt;3,"NA",IFERROR(B164/INDEX($B:$B,ROW()-1)-1,"NA"))</f>
        <v>-8.0155674407451638E-3</v>
      </c>
      <c r="E164" s="37" cm="1">
        <f t="array" ref="E164">IF(ROW()&lt;5,"NA",IFERROR(B164/INDEX($B:$B,ROW()-3)-1,"NA"))</f>
        <v>-8.9179918927345669E-3</v>
      </c>
      <c r="F164" s="38">
        <f t="shared" si="2"/>
        <v>0.2405351533371764</v>
      </c>
    </row>
    <row r="165" spans="1:6">
      <c r="A165" s="9">
        <v>45108</v>
      </c>
      <c r="B165" s="10">
        <v>100.9067</v>
      </c>
      <c r="C165" s="37" cm="1">
        <f t="array" ref="C165">IF(ROW()&lt;14,"",IFERROR(B165/INDEX($B:$B,ROW()-12)-1,""))</f>
        <v>-3.1247838929887584E-3</v>
      </c>
      <c r="D165" s="37" cm="1">
        <f t="array" ref="D165">IF(ROW()&lt;3,"NA",IFERROR(B165/INDEX($B:$B,ROW()-1)-1,"NA"))</f>
        <v>7.8615975293547802E-3</v>
      </c>
      <c r="E165" s="37" cm="1">
        <f t="array" ref="E165">IF(ROW()&lt;5,"NA",IFERROR(B165/INDEX($B:$B,ROW()-3)-1,"NA"))</f>
        <v>-3.4201455759335087E-3</v>
      </c>
      <c r="F165" s="38">
        <f t="shared" si="2"/>
        <v>0.47296281853741984</v>
      </c>
    </row>
    <row r="166" spans="1:6">
      <c r="A166" s="9">
        <v>45139</v>
      </c>
      <c r="B166" s="10">
        <v>100.83929999999999</v>
      </c>
      <c r="C166" s="37" cm="1">
        <f t="array" ref="C166">IF(ROW()&lt;14,"",IFERROR(B166/INDEX($B:$B,ROW()-12)-1,""))</f>
        <v>-2.5421306219911566E-3</v>
      </c>
      <c r="D166" s="37" cm="1">
        <f t="array" ref="D166">IF(ROW()&lt;3,"NA",IFERROR(B166/INDEX($B:$B,ROW()-1)-1,"NA"))</f>
        <v>-6.6794375398271377E-4</v>
      </c>
      <c r="E166" s="37" cm="1">
        <f t="array" ref="E166">IF(ROW()&lt;5,"NA",IFERROR(B166/INDEX($B:$B,ROW()-3)-1,"NA"))</f>
        <v>-8.8478389673496416E-4</v>
      </c>
      <c r="F166" s="38">
        <f t="shared" si="2"/>
        <v>0.45305985241558278</v>
      </c>
    </row>
    <row r="167" spans="1:6">
      <c r="A167" s="9">
        <v>45170</v>
      </c>
      <c r="B167" s="10">
        <v>101.0211</v>
      </c>
      <c r="C167" s="37" cm="1">
        <f t="array" ref="C167">IF(ROW()&lt;14,"",IFERROR(B167/INDEX($B:$B,ROW()-12)-1,""))</f>
        <v>-2.6724769428521089E-3</v>
      </c>
      <c r="D167" s="37" cm="1">
        <f t="array" ref="D167">IF(ROW()&lt;3,"NA",IFERROR(B167/INDEX($B:$B,ROW()-1)-1,"NA"))</f>
        <v>1.8028685244741993E-3</v>
      </c>
      <c r="E167" s="37" cm="1">
        <f t="array" ref="E167">IF(ROW()&lt;5,"NA",IFERROR(B167/INDEX($B:$B,ROW()-3)-1,"NA"))</f>
        <v>9.0042309397959652E-3</v>
      </c>
      <c r="F167" s="38">
        <f t="shared" si="2"/>
        <v>0.50674470762255364</v>
      </c>
    </row>
    <row r="168" spans="1:6">
      <c r="A168" s="9">
        <v>45200</v>
      </c>
      <c r="B168" s="10">
        <v>100.4689</v>
      </c>
      <c r="C168" s="37" cm="1">
        <f t="array" ref="C168">IF(ROW()&lt;14,"",IFERROR(B168/INDEX($B:$B,ROW()-12)-1,""))</f>
        <v>-7.7429881020690816E-3</v>
      </c>
      <c r="D168" s="37" cm="1">
        <f t="array" ref="D168">IF(ROW()&lt;3,"NA",IFERROR(B168/INDEX($B:$B,ROW()-1)-1,"NA"))</f>
        <v>-5.4661847871385616E-3</v>
      </c>
      <c r="E168" s="37" cm="1">
        <f t="array" ref="E168">IF(ROW()&lt;5,"NA",IFERROR(B168/INDEX($B:$B,ROW()-3)-1,"NA"))</f>
        <v>-4.3386613574717403E-3</v>
      </c>
      <c r="F168" s="38">
        <f t="shared" si="2"/>
        <v>0.34368212761547068</v>
      </c>
    </row>
    <row r="169" spans="1:6">
      <c r="A169" s="9">
        <v>45231</v>
      </c>
      <c r="B169" s="10">
        <v>100.8639</v>
      </c>
      <c r="C169" s="37" cm="1">
        <f t="array" ref="C169">IF(ROW()&lt;14,"",IFERROR(B169/INDEX($B:$B,ROW()-12)-1,""))</f>
        <v>-9.043615385835313E-4</v>
      </c>
      <c r="D169" s="37" cm="1">
        <f t="array" ref="D169">IF(ROW()&lt;3,"NA",IFERROR(B169/INDEX($B:$B,ROW()-1)-1,"NA"))</f>
        <v>3.9315648922202406E-3</v>
      </c>
      <c r="E169" s="37" cm="1">
        <f t="array" ref="E169">IF(ROW()&lt;5,"NA",IFERROR(B169/INDEX($B:$B,ROW()-3)-1,"NA"))</f>
        <v>2.4395250661202184E-4</v>
      </c>
      <c r="F169" s="38">
        <f t="shared" si="2"/>
        <v>0.4603241397538213</v>
      </c>
    </row>
    <row r="170" spans="1:6">
      <c r="A170" s="9">
        <v>45261</v>
      </c>
      <c r="B170" s="10">
        <v>100.6031</v>
      </c>
      <c r="C170" s="37" cm="1">
        <f t="array" ref="C170">IF(ROW()&lt;14,"",IFERROR(B170/INDEX($B:$B,ROW()-12)-1,""))</f>
        <v>8.3865910767553231E-3</v>
      </c>
      <c r="D170" s="37" cm="1">
        <f t="array" ref="D170">IF(ROW()&lt;3,"NA",IFERROR(B170/INDEX($B:$B,ROW()-1)-1,"NA"))</f>
        <v>-2.5856624619908786E-3</v>
      </c>
      <c r="E170" s="37" cm="1">
        <f t="array" ref="E170">IF(ROW()&lt;5,"NA",IFERROR(B170/INDEX($B:$B,ROW()-3)-1,"NA"))</f>
        <v>-4.1377494404635229E-3</v>
      </c>
      <c r="F170" s="38">
        <f t="shared" si="2"/>
        <v>0.38331088211918196</v>
      </c>
    </row>
    <row r="171" spans="1:6">
      <c r="A171" s="9">
        <v>45292</v>
      </c>
      <c r="B171" s="10">
        <v>99.222300000000004</v>
      </c>
      <c r="C171" s="37" cm="1">
        <f t="array" ref="C171">IF(ROW()&lt;14,"",IFERROR(B171/INDEX($B:$B,ROW()-12)-1,""))</f>
        <v>-1.2762549126908995E-2</v>
      </c>
      <c r="D171" s="37" cm="1">
        <f t="array" ref="D171">IF(ROW()&lt;3,"NA",IFERROR(B171/INDEX($B:$B,ROW()-1)-1,"NA"))</f>
        <v>-1.3725223179007373E-2</v>
      </c>
      <c r="E171" s="37" cm="1">
        <f t="array" ref="E171">IF(ROW()&lt;5,"NA",IFERROR(B171/INDEX($B:$B,ROW()-3)-1,"NA"))</f>
        <v>-1.2407819733270653E-2</v>
      </c>
      <c r="F171" s="38">
        <f t="shared" si="2"/>
        <v>-2.4434156768502708E-2</v>
      </c>
    </row>
    <row r="172" spans="1:6">
      <c r="A172" s="9">
        <v>45323</v>
      </c>
      <c r="B172" s="10">
        <v>100.285</v>
      </c>
      <c r="C172" s="37" cm="1">
        <f t="array" ref="C172">IF(ROW()&lt;14,"",IFERROR(B172/INDEX($B:$B,ROW()-12)-1,""))</f>
        <v>-3.5432664027599259E-3</v>
      </c>
      <c r="D172" s="37" cm="1">
        <f t="array" ref="D172">IF(ROW()&lt;3,"NA",IFERROR(B172/INDEX($B:$B,ROW()-1)-1,"NA"))</f>
        <v>1.0710293956096573E-2</v>
      </c>
      <c r="E172" s="37" cm="1">
        <f t="array" ref="E172">IF(ROW()&lt;5,"NA",IFERROR(B172/INDEX($B:$B,ROW()-3)-1,"NA"))</f>
        <v>-5.7394171750250189E-3</v>
      </c>
      <c r="F172" s="38">
        <f t="shared" si="2"/>
        <v>0.28937715031865069</v>
      </c>
    </row>
    <row r="173" spans="1:6">
      <c r="A173" s="9">
        <v>45352</v>
      </c>
      <c r="B173" s="10">
        <v>100.4575</v>
      </c>
      <c r="C173" s="37" cm="1">
        <f t="array" ref="C173">IF(ROW()&lt;14,"",IFERROR(B173/INDEX($B:$B,ROW()-12)-1,""))</f>
        <v>-5.5731262466529596E-3</v>
      </c>
      <c r="D173" s="37" cm="1">
        <f t="array" ref="D173">IF(ROW()&lt;3,"NA",IFERROR(B173/INDEX($B:$B,ROW()-1)-1,"NA"))</f>
        <v>1.7200977214937296E-3</v>
      </c>
      <c r="E173" s="37" cm="1">
        <f t="array" ref="E173">IF(ROW()&lt;5,"NA",IFERROR(B173/INDEX($B:$B,ROW()-3)-1,"NA"))</f>
        <v>-1.4472715055500185E-3</v>
      </c>
      <c r="F173" s="38">
        <f t="shared" si="2"/>
        <v>0.34031575055628521</v>
      </c>
    </row>
    <row r="174" spans="1:6">
      <c r="A174" s="9">
        <v>45383</v>
      </c>
      <c r="B174" s="10">
        <v>100.24339999999999</v>
      </c>
      <c r="C174" s="37" cm="1">
        <f t="array" ref="C174">IF(ROW()&lt;14,"",IFERROR(B174/INDEX($B:$B,ROW()-12)-1,""))</f>
        <v>-9.9710625857999391E-3</v>
      </c>
      <c r="D174" s="37" cm="1">
        <f t="array" ref="D174">IF(ROW()&lt;3,"NA",IFERROR(B174/INDEX($B:$B,ROW()-1)-1,"NA"))</f>
        <v>-2.131249533384838E-3</v>
      </c>
      <c r="E174" s="37" cm="1">
        <f t="array" ref="E174">IF(ROW()&lt;5,"NA",IFERROR(B174/INDEX($B:$B,ROW()-3)-1,"NA"))</f>
        <v>1.0291033366491176E-2</v>
      </c>
      <c r="F174" s="38">
        <f t="shared" si="2"/>
        <v>0.27709282701496529</v>
      </c>
    </row>
    <row r="175" spans="1:6">
      <c r="A175" s="9">
        <v>45413</v>
      </c>
      <c r="B175" s="10">
        <v>100.863</v>
      </c>
      <c r="C175" s="37" cm="1">
        <f t="array" ref="C175">IF(ROW()&lt;14,"",IFERROR(B175/INDEX($B:$B,ROW()-12)-1,""))</f>
        <v>-6.4996443030029827E-4</v>
      </c>
      <c r="D175" s="37" cm="1">
        <f t="array" ref="D175">IF(ROW()&lt;3,"NA",IFERROR(B175/INDEX($B:$B,ROW()-1)-1,"NA"))</f>
        <v>6.1809555541811889E-3</v>
      </c>
      <c r="E175" s="37" cm="1">
        <f t="array" ref="E175">IF(ROW()&lt;5,"NA",IFERROR(B175/INDEX($B:$B,ROW()-3)-1,"NA"))</f>
        <v>5.7635738146284421E-3</v>
      </c>
      <c r="F175" s="38">
        <f t="shared" si="2"/>
        <v>0.46005837314388537</v>
      </c>
    </row>
    <row r="176" spans="1:6">
      <c r="A176" s="9">
        <v>45444</v>
      </c>
      <c r="B176" s="10">
        <v>100.89400000000001</v>
      </c>
      <c r="C176" s="37" cm="1">
        <f t="array" ref="C176">IF(ROW()&lt;14,"",IFERROR(B176/INDEX($B:$B,ROW()-12)-1,""))</f>
        <v>7.7347492399091333E-3</v>
      </c>
      <c r="D176" s="37" cm="1">
        <f t="array" ref="D176">IF(ROW()&lt;3,"NA",IFERROR(B176/INDEX($B:$B,ROW()-1)-1,"NA"))</f>
        <v>3.0734759029571457E-4</v>
      </c>
      <c r="E176" s="37" cm="1">
        <f t="array" ref="E176">IF(ROW()&lt;5,"NA",IFERROR(B176/INDEX($B:$B,ROW()-3)-1,"NA"))</f>
        <v>4.3451210710998556E-3</v>
      </c>
      <c r="F176" s="38">
        <f t="shared" si="2"/>
        <v>0.46921255637499826</v>
      </c>
    </row>
    <row r="177" spans="1:6">
      <c r="A177" s="9">
        <v>45474</v>
      </c>
      <c r="B177" s="10">
        <v>99.975700000000003</v>
      </c>
      <c r="C177" s="37" cm="1">
        <f t="array" ref="C177">IF(ROW()&lt;14,"",IFERROR(B177/INDEX($B:$B,ROW()-12)-1,""))</f>
        <v>-9.2263447323120973E-3</v>
      </c>
      <c r="D177" s="37" cm="1">
        <f t="array" ref="D177">IF(ROW()&lt;3,"NA",IFERROR(B177/INDEX($B:$B,ROW()-1)-1,"NA"))</f>
        <v>-9.1016314151486366E-3</v>
      </c>
      <c r="E177" s="37" cm="1">
        <f t="array" ref="E177">IF(ROW()&lt;5,"NA",IFERROR(B177/INDEX($B:$B,ROW()-3)-1,"NA"))</f>
        <v>-2.6705000029926262E-3</v>
      </c>
      <c r="F177" s="38">
        <f t="shared" si="2"/>
        <v>0.1980420253708243</v>
      </c>
    </row>
    <row r="178" spans="1:6">
      <c r="A178" s="9">
        <v>45505</v>
      </c>
      <c r="B178" s="10">
        <v>100.43089999999999</v>
      </c>
      <c r="C178" s="37" cm="1">
        <f t="array" ref="C178">IF(ROW()&lt;14,"",IFERROR(B178/INDEX($B:$B,ROW()-12)-1,""))</f>
        <v>-4.0500082805017268E-3</v>
      </c>
      <c r="D178" s="37" cm="1">
        <f t="array" ref="D178">IF(ROW()&lt;3,"NA",IFERROR(B178/INDEX($B:$B,ROW()-1)-1,"NA"))</f>
        <v>4.5531064048562886E-3</v>
      </c>
      <c r="E178" s="37" cm="1">
        <f t="array" ref="E178">IF(ROW()&lt;5,"NA",IFERROR(B178/INDEX($B:$B,ROW()-3)-1,"NA"))</f>
        <v>-4.2840288311869479E-3</v>
      </c>
      <c r="F178" s="38">
        <f t="shared" si="2"/>
        <v>0.3324608707515247</v>
      </c>
    </row>
    <row r="179" spans="1:6">
      <c r="A179" s="9">
        <v>45536</v>
      </c>
      <c r="B179" s="10">
        <v>99.808400000000006</v>
      </c>
      <c r="C179" s="37" cm="1">
        <f t="array" ref="C179">IF(ROW()&lt;14,"",IFERROR(B179/INDEX($B:$B,ROW()-12)-1,""))</f>
        <v>-1.2004422838397089E-2</v>
      </c>
      <c r="D179" s="37" cm="1">
        <f t="array" ref="D179">IF(ROW()&lt;3,"NA",IFERROR(B179/INDEX($B:$B,ROW()-1)-1,"NA"))</f>
        <v>-6.1982915616607404E-3</v>
      </c>
      <c r="E179" s="37" cm="1">
        <f t="array" ref="E179">IF(ROW()&lt;5,"NA",IFERROR(B179/INDEX($B:$B,ROW()-3)-1,"NA"))</f>
        <v>-1.0759807322536563E-2</v>
      </c>
      <c r="F179" s="38">
        <f t="shared" si="2"/>
        <v>0.148638965546151</v>
      </c>
    </row>
    <row r="180" spans="1:6">
      <c r="A180" s="9">
        <v>45566</v>
      </c>
      <c r="B180" s="10">
        <v>99.469499999999996</v>
      </c>
      <c r="C180" s="37" cm="1">
        <f t="array" ref="C180">IF(ROW()&lt;14,"",IFERROR(B180/INDEX($B:$B,ROW()-12)-1,""))</f>
        <v>-9.9473568437596915E-3</v>
      </c>
      <c r="D180" s="37" cm="1">
        <f t="array" ref="D180">IF(ROW()&lt;3,"NA",IFERROR(B180/INDEX($B:$B,ROW()-1)-1,"NA"))</f>
        <v>-3.3955057890919793E-3</v>
      </c>
      <c r="E180" s="37" cm="1">
        <f t="array" ref="E180">IF(ROW()&lt;5,"NA",IFERROR(B180/INDEX($B:$B,ROW()-3)-1,"NA"))</f>
        <v>-5.0632303649787991E-3</v>
      </c>
      <c r="F180" s="38">
        <f t="shared" si="2"/>
        <v>4.8563072093774952E-2</v>
      </c>
    </row>
    <row r="181" spans="1:6">
      <c r="A181" s="9">
        <v>45597</v>
      </c>
      <c r="B181" s="10">
        <v>99.292500000000004</v>
      </c>
      <c r="C181" s="37" cm="1">
        <f t="array" ref="C181">IF(ROW()&lt;14,"",IFERROR(B181/INDEX($B:$B,ROW()-12)-1,""))</f>
        <v>-1.5579409481489392E-2</v>
      </c>
      <c r="D181" s="37" cm="1">
        <f t="array" ref="D181">IF(ROW()&lt;3,"NA",IFERROR(B181/INDEX($B:$B,ROW()-1)-1,"NA"))</f>
        <v>-1.7794399288223461E-3</v>
      </c>
      <c r="E181" s="37" cm="1">
        <f t="array" ref="E181">IF(ROW()&lt;5,"NA",IFERROR(B181/INDEX($B:$B,ROW()-3)-1,"NA"))</f>
        <v>-1.1335156809308633E-2</v>
      </c>
      <c r="F181" s="38">
        <f t="shared" si="2"/>
        <v>-3.7043611935349175E-3</v>
      </c>
    </row>
    <row r="182" spans="1:6">
      <c r="A182" s="9">
        <v>45627</v>
      </c>
      <c r="B182" s="10">
        <v>100.32729999999999</v>
      </c>
      <c r="C182" s="37" cm="1">
        <f t="array" ref="C182">IF(ROW()&lt;14,"",IFERROR(B182/INDEX($B:$B,ROW()-12)-1,""))</f>
        <v>-2.7414662172438042E-3</v>
      </c>
      <c r="D182" s="37" cm="1">
        <f t="array" ref="D182">IF(ROW()&lt;3,"NA",IFERROR(B182/INDEX($B:$B,ROW()-1)-1,"NA"))</f>
        <v>1.0421733766397212E-2</v>
      </c>
      <c r="E182" s="37" cm="1">
        <f t="array" ref="E182">IF(ROW()&lt;5,"NA",IFERROR(B182/INDEX($B:$B,ROW()-3)-1,"NA"))</f>
        <v>5.1989612096776661E-3</v>
      </c>
      <c r="F182" s="38">
        <f t="shared" si="2"/>
        <v>0.30186818098561774</v>
      </c>
    </row>
    <row r="183" spans="1:6">
      <c r="A183" s="9">
        <v>45658</v>
      </c>
      <c r="B183" s="10">
        <v>100.0647</v>
      </c>
      <c r="C183" s="37" cm="1">
        <f t="array" ref="C183">IF(ROW()&lt;14,"",IFERROR(B183/INDEX($B:$B,ROW()-12)-1,""))</f>
        <v>8.4900269395085104E-3</v>
      </c>
      <c r="D183" s="37" cm="1">
        <f t="array" ref="D183">IF(ROW()&lt;3,"NA",IFERROR(B183/INDEX($B:$B,ROW()-1)-1,"NA"))</f>
        <v>-2.6174331413283403E-3</v>
      </c>
      <c r="E183" s="37" cm="1">
        <f t="array" ref="E183">IF(ROW()&lt;5,"NA",IFERROR(B183/INDEX($B:$B,ROW()-3)-1,"NA"))</f>
        <v>5.9837437606502508E-3</v>
      </c>
      <c r="F183" s="38">
        <f t="shared" si="2"/>
        <v>0.22432339013111077</v>
      </c>
    </row>
    <row r="184" spans="1:6">
      <c r="A184" s="9">
        <v>45689</v>
      </c>
      <c r="B184" s="10">
        <v>101.0993</v>
      </c>
      <c r="C184" s="37" cm="1">
        <f t="array" ref="C184">IF(ROW()&lt;14,"",IFERROR(B184/INDEX($B:$B,ROW()-12)-1,""))</f>
        <v>8.1198584035500065E-3</v>
      </c>
      <c r="D184" s="37" cm="1">
        <f t="array" ref="D184">IF(ROW()&lt;3,"NA",IFERROR(B184/INDEX($B:$B,ROW()-1)-1,"NA"))</f>
        <v>1.033931046612846E-2</v>
      </c>
      <c r="E184" s="37" cm="1">
        <f t="array" ref="E184">IF(ROW()&lt;5,"NA",IFERROR(B184/INDEX($B:$B,ROW()-3)-1,"NA"))</f>
        <v>1.8196741949291217E-2</v>
      </c>
      <c r="F184" s="38">
        <f t="shared" si="2"/>
        <v>0.52983687306361327</v>
      </c>
    </row>
    <row r="185" spans="1:6">
      <c r="A185" s="9">
        <v>45717</v>
      </c>
      <c r="B185" s="10">
        <v>101.04040000000001</v>
      </c>
      <c r="C185" s="37" cm="1">
        <f t="array" ref="C185">IF(ROW()&lt;14,"",IFERROR(B185/INDEX($B:$B,ROW()-12)-1,""))</f>
        <v>5.8024537739840287E-3</v>
      </c>
      <c r="D185" s="37" cm="1">
        <f t="array" ref="D185">IF(ROW()&lt;3,"NA",IFERROR(B185/INDEX($B:$B,ROW()-1)-1,"NA"))</f>
        <v>-5.8259552736761311E-4</v>
      </c>
      <c r="E185" s="37" cm="1">
        <f t="array" ref="E185">IF(ROW()&lt;5,"NA",IFERROR(B185/INDEX($B:$B,ROW()-3)-1,"NA"))</f>
        <v>7.107736378832108E-3</v>
      </c>
      <c r="F185" s="38">
        <f t="shared" si="2"/>
        <v>0.51244392492450386</v>
      </c>
    </row>
    <row r="186" spans="1:6">
      <c r="A186" s="9">
        <v>45748</v>
      </c>
      <c r="B186" s="10">
        <v>101.1279</v>
      </c>
      <c r="C186" s="37" cm="1">
        <f t="array" ref="C186">IF(ROW()&lt;14,"",IFERROR(B186/INDEX($B:$B,ROW()-12)-1,""))</f>
        <v>8.8235235436946446E-3</v>
      </c>
      <c r="D186" s="37" cm="1">
        <f t="array" ref="D186">IF(ROW()&lt;3,"NA",IFERROR(B186/INDEX($B:$B,ROW()-1)-1,"NA"))</f>
        <v>8.6599023756828153E-4</v>
      </c>
      <c r="E186" s="37" cm="1">
        <f t="array" ref="E186">IF(ROW()&lt;5,"NA",IFERROR(B186/INDEX($B:$B,ROW()-3)-1,"NA"))</f>
        <v>1.062512554377304E-2</v>
      </c>
      <c r="F186" s="38">
        <f t="shared" si="2"/>
        <v>0.53828234533489572</v>
      </c>
    </row>
    <row r="187" spans="1:6">
      <c r="A187" s="9">
        <v>45778</v>
      </c>
      <c r="B187" s="10">
        <v>100.96550000000001</v>
      </c>
      <c r="C187" s="37" cm="1">
        <f t="array" ref="C187">IF(ROW()&lt;14,"",IFERROR(B187/INDEX($B:$B,ROW()-12)-1,""))</f>
        <v>1.0162299356553106E-3</v>
      </c>
      <c r="D187" s="37" cm="1">
        <f t="array" ref="D187">IF(ROW()&lt;3,"NA",IFERROR(B187/INDEX($B:$B,ROW()-1)-1,"NA"))</f>
        <v>-1.6058871982903566E-3</v>
      </c>
      <c r="E187" s="37" cm="1">
        <f t="array" ref="E187">IF(ROW()&lt;5,"NA",IFERROR(B187/INDEX($B:$B,ROW()-3)-1,"NA"))</f>
        <v>-1.3234512998605563E-3</v>
      </c>
      <c r="F187" s="38">
        <f t="shared" si="2"/>
        <v>0.49032623705320638</v>
      </c>
    </row>
    <row r="188" spans="1:6">
      <c r="A188" s="9">
        <v>45809</v>
      </c>
      <c r="B188" s="10">
        <v>101.4785</v>
      </c>
      <c r="C188" s="37" cm="1">
        <f t="array" ref="C188">IF(ROW()&lt;14,"",IFERROR(B188/INDEX($B:$B,ROW()-12)-1,""))</f>
        <v>5.7932087140959432E-3</v>
      </c>
      <c r="D188" s="37" cm="1">
        <f t="array" ref="D188">IF(ROW()&lt;3,"NA",IFERROR(B188/INDEX($B:$B,ROW()-1)-1,"NA"))</f>
        <v>5.0809434905982886E-3</v>
      </c>
      <c r="E188" s="37" cm="1">
        <f t="array" ref="E188">IF(ROW()&lt;5,"NA",IFERROR(B188/INDEX($B:$B,ROW()-3)-1,"NA"))</f>
        <v>4.3358894066134468E-3</v>
      </c>
      <c r="F188" s="38">
        <f t="shared" si="2"/>
        <v>0.64181320471643022</v>
      </c>
    </row>
    <row r="189" spans="1:6">
      <c r="A189" s="9">
        <v>45839</v>
      </c>
      <c r="B189" s="10">
        <v>101.89400000000001</v>
      </c>
      <c r="C189" s="37" cm="1">
        <f t="array" ref="C189">IF(ROW()&lt;14,"",IFERROR(B189/INDEX($B:$B,ROW()-12)-1,""))</f>
        <v>1.9187662602012212E-2</v>
      </c>
      <c r="D189" s="37" cm="1">
        <f t="array" ref="D189">IF(ROW()&lt;3,"NA",IFERROR(B189/INDEX($B:$B,ROW()-1)-1,"NA"))</f>
        <v>4.094463359233913E-3</v>
      </c>
      <c r="E189" s="37" cm="1">
        <f t="array" ref="E189">IF(ROW()&lt;5,"NA",IFERROR(B189/INDEX($B:$B,ROW()-3)-1,"NA"))</f>
        <v>7.5755553116401142E-3</v>
      </c>
      <c r="F189" s="38">
        <f t="shared" si="2"/>
        <v>0.76450878963664848</v>
      </c>
    </row>
    <row r="190" spans="1:6">
      <c r="A190" s="9">
        <v>45870</v>
      </c>
      <c r="B190" s="10">
        <v>101.6247</v>
      </c>
      <c r="C190" s="37" cm="1">
        <f t="array" ref="C190">IF(ROW()&lt;14,"",IFERROR(B190/INDEX($B:$B,ROW()-12)-1,""))</f>
        <v>1.1886779865559305E-2</v>
      </c>
      <c r="D190" s="37" cm="1">
        <f t="array" ref="D190">IF(ROW()&lt;3,"NA",IFERROR(B190/INDEX($B:$B,ROW()-1)-1,"NA"))</f>
        <v>-2.6429426659076993E-3</v>
      </c>
      <c r="E190" s="37" cm="1">
        <f t="array" ref="E190">IF(ROW()&lt;5,"NA",IFERROR(B190/INDEX($B:$B,ROW()-3)-1,"NA"))</f>
        <v>6.5289628635523123E-3</v>
      </c>
      <c r="F190" s="38">
        <f t="shared" si="2"/>
        <v>0.68498551401928576</v>
      </c>
    </row>
    <row r="191" spans="1:6">
      <c r="A191" s="9">
        <v>45901</v>
      </c>
      <c r="B191" s="10">
        <v>101.7059</v>
      </c>
      <c r="C191" s="37" cm="1">
        <f t="array" ref="C191">IF(ROW()&lt;14,"",IFERROR(B191/INDEX($B:$B,ROW()-12)-1,""))</f>
        <v>1.9011425892009104E-2</v>
      </c>
      <c r="D191" s="37" cm="1">
        <f t="array" ref="D191">IF(ROW()&lt;3,"NA",IFERROR(B191/INDEX($B:$B,ROW()-1)-1,"NA"))</f>
        <v>7.9901834888551626E-4</v>
      </c>
      <c r="E191" s="37" cm="1">
        <f t="array" ref="E191">IF(ROW()&lt;5,"NA",IFERROR(B191/INDEX($B:$B,ROW()-3)-1,"NA"))</f>
        <v>2.240868755450709E-3</v>
      </c>
      <c r="F191" s="38">
        <f t="shared" si="2"/>
        <v>0.7089635681601304</v>
      </c>
    </row>
    <row r="192" spans="1:6">
      <c r="A192" s="9">
        <v>45931</v>
      </c>
      <c r="B192" s="10">
        <v>101.25700000000001</v>
      </c>
      <c r="C192" s="37" cm="1">
        <f t="array" ref="C192">IF(ROW()&lt;14,"",IFERROR(B192/INDEX($B:$B,ROW()-12)-1,""))</f>
        <v>1.797033261452019E-2</v>
      </c>
      <c r="D192" s="37" cm="1">
        <f t="array" ref="D192">IF(ROW()&lt;3,"NA",IFERROR(B192/INDEX($B:$B,ROW()-1)-1,"NA"))</f>
        <v>-4.4137065794609409E-3</v>
      </c>
      <c r="E192" s="37" cm="1">
        <f t="array" ref="E192">IF(ROW()&lt;5,"NA",IFERROR(B192/INDEX($B:$B,ROW()-3)-1,"NA"))</f>
        <v>-6.251594794590476E-3</v>
      </c>
      <c r="F192" s="38">
        <f t="shared" si="2"/>
        <v>0.57640508904897714</v>
      </c>
    </row>
    <row r="193" spans="1:6">
      <c r="A193" s="9">
        <v>45962</v>
      </c>
      <c r="B193" s="10">
        <v>101.3775</v>
      </c>
      <c r="C193" s="37" cm="1">
        <f t="array" ref="C193">IF(ROW()&lt;14,"",IFERROR(B193/INDEX($B:$B,ROW()-12)-1,""))</f>
        <v>2.0998564846287371E-2</v>
      </c>
      <c r="D193" s="37" cm="1">
        <f t="array" ref="D193">IF(ROW()&lt;3,"NA",IFERROR(B193/INDEX($B:$B,ROW()-1)-1,"NA"))</f>
        <v>1.1900411823380086E-3</v>
      </c>
      <c r="E193" s="37" cm="1">
        <f t="array" ref="E193">IF(ROW()&lt;5,"NA",IFERROR(B193/INDEX($B:$B,ROW()-3)-1,"NA"))</f>
        <v>-2.4324795054746495E-3</v>
      </c>
      <c r="F193" s="38">
        <f t="shared" si="2"/>
        <v>0.61198828515700388</v>
      </c>
    </row>
    <row r="194" spans="1:6">
      <c r="A194" s="9">
        <v>45992</v>
      </c>
      <c r="B194" s="10">
        <v>101.6296</v>
      </c>
      <c r="C194" s="37" cm="1">
        <f t="array" ref="C194">IF(ROW()&lt;14,"",IFERROR(B194/INDEX($B:$B,ROW()-12)-1,""))</f>
        <v>1.298051477514095E-2</v>
      </c>
      <c r="D194" s="37" cm="1">
        <f t="array" ref="D194">IF(ROW()&lt;3,"NA",IFERROR(B194/INDEX($B:$B,ROW()-1)-1,"NA"))</f>
        <v>2.4867450864343166E-3</v>
      </c>
      <c r="E194" s="37" cm="1">
        <f t="array" ref="E194">IF(ROW()&lt;5,"NA",IFERROR(B194/INDEX($B:$B,ROW()-3)-1,"NA"))</f>
        <v>-7.5020229898170587E-4</v>
      </c>
      <c r="F194" s="38">
        <f t="shared" si="2"/>
        <v>0.68643246556226545</v>
      </c>
    </row>
    <row r="195" spans="1:6">
      <c r="A195" s="9">
        <v>46023</v>
      </c>
      <c r="B195" s="10">
        <v>102.3412</v>
      </c>
      <c r="C195" s="37" cm="1">
        <f t="array" ref="C195">IF(ROW()&lt;14,"",IFERROR(B195/INDEX($B:$B,ROW()-12)-1,""))</f>
        <v>2.2750280568472281E-2</v>
      </c>
      <c r="D195" s="37" cm="1">
        <f t="array" ref="D195">IF(ROW()&lt;3,"NA",IFERROR(B195/INDEX($B:$B,ROW()-1)-1,"NA"))</f>
        <v>7.0018970851011275E-3</v>
      </c>
      <c r="E195" s="37" cm="1">
        <f t="array" ref="E195">IF(ROW()&lt;5,"NA",IFERROR(B195/INDEX($B:$B,ROW()-3)-1,"NA"))</f>
        <v>1.070740788291169E-2</v>
      </c>
      <c r="F195" s="38">
        <f t="shared" si="2"/>
        <v>0.89656526515125701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E346-FD57-4E68-8C96-DF004B84FE00}">
  <dimension ref="A1:F195"/>
  <sheetViews>
    <sheetView tabSelected="1" workbookViewId="0">
      <selection activeCell="H20" sqref="H20"/>
    </sheetView>
  </sheetViews>
  <sheetFormatPr defaultRowHeight="15"/>
  <cols>
    <col min="1" max="1" width="19.7109375" customWidth="1"/>
    <col min="2" max="2" width="11.140625" style="3" customWidth="1"/>
    <col min="3" max="4" width="12.7109375" style="4" customWidth="1"/>
    <col min="5" max="5" width="18.140625" style="4" customWidth="1"/>
    <col min="6" max="6" width="11.5703125" style="3" customWidth="1"/>
  </cols>
  <sheetData>
    <row r="1" spans="1:6">
      <c r="A1" s="13" t="s">
        <v>34</v>
      </c>
      <c r="B1" s="14"/>
      <c r="C1" s="15"/>
      <c r="D1" s="15"/>
      <c r="E1" s="15"/>
      <c r="F1" s="14"/>
    </row>
    <row r="2" spans="1:6">
      <c r="A2" s="16" t="s">
        <v>28</v>
      </c>
      <c r="B2" s="17" t="s">
        <v>35</v>
      </c>
      <c r="C2" s="18" t="s">
        <v>36</v>
      </c>
      <c r="D2" s="18" t="s">
        <v>37</v>
      </c>
      <c r="E2" s="18" t="s">
        <v>38</v>
      </c>
      <c r="F2" s="19" t="s">
        <v>39</v>
      </c>
    </row>
    <row r="3" spans="1:6">
      <c r="A3" s="20">
        <v>40179</v>
      </c>
      <c r="B3" s="21">
        <v>339093</v>
      </c>
      <c r="C3" s="22" t="str" cm="1">
        <f t="array" ref="C3">IF(ROW()&lt;14,"",IFERROR(B3/INDEX($B:$B,ROW()-12)-1,""))</f>
        <v/>
      </c>
      <c r="D3" s="22" t="str" cm="1">
        <f t="array" ref="D3">IF(ROW()&lt;3,"NA",IFERROR(B3/INDEX($B:$B,ROW()-1)-1,"NA"))</f>
        <v>NA</v>
      </c>
      <c r="E3" s="22" t="str" cm="1">
        <f t="array" ref="E3">IF(ROW()&lt;5,"NA",IFERROR(B3/INDEX($B:$B,ROW()-3)-1,"NA"))</f>
        <v>NA</v>
      </c>
      <c r="F3" s="23">
        <f>IFERROR((B3-AVERAGE($B:$B))/_xlfn.STDEV.S($B:$B),"")</f>
        <v>-1.4339960024674325</v>
      </c>
    </row>
    <row r="4" spans="1:6">
      <c r="A4" s="20">
        <v>40210</v>
      </c>
      <c r="B4" s="21">
        <v>339580</v>
      </c>
      <c r="C4" s="22" t="str" cm="1">
        <f t="array" ref="C4">IF(ROW()&lt;14,"",IFERROR(B4/INDEX($B:$B,ROW()-12)-1,""))</f>
        <v/>
      </c>
      <c r="D4" s="22" cm="1">
        <f t="array" ref="D4">IF(ROW()&lt;3,"NA",IFERROR(B4/INDEX($B:$B,ROW()-1)-1,"NA"))</f>
        <v>1.4361841736632019E-3</v>
      </c>
      <c r="E4" s="22" t="str" cm="1">
        <f t="array" ref="E4">IF(ROW()&lt;5,"NA",IFERROR(B4/INDEX($B:$B,ROW()-3)-1,"NA"))</f>
        <v>NA</v>
      </c>
      <c r="F4" s="23">
        <f t="shared" ref="F4:F67" si="0">IFERROR((B4-AVERAGE($B:$B))/_xlfn.STDEV.S($B:$B),"")</f>
        <v>-1.4299261769317073</v>
      </c>
    </row>
    <row r="5" spans="1:6">
      <c r="A5" s="20">
        <v>40238</v>
      </c>
      <c r="B5" s="21">
        <v>346974</v>
      </c>
      <c r="C5" s="22" t="str" cm="1">
        <f t="array" ref="C5">IF(ROW()&lt;14,"",IFERROR(B5/INDEX($B:$B,ROW()-12)-1,""))</f>
        <v/>
      </c>
      <c r="D5" s="22" cm="1">
        <f t="array" ref="D5">IF(ROW()&lt;3,"NA",IFERROR(B5/INDEX($B:$B,ROW()-1)-1,"NA"))</f>
        <v>2.1773956063372291E-2</v>
      </c>
      <c r="E5" s="22" t="str" cm="1">
        <f t="array" ref="E5">IF(ROW()&lt;5,"NA",IFERROR(B5/INDEX($B:$B,ROW()-3)-1,"NA"))</f>
        <v>NA</v>
      </c>
      <c r="F5" s="23">
        <f t="shared" si="0"/>
        <v>-1.368135027011476</v>
      </c>
    </row>
    <row r="6" spans="1:6">
      <c r="A6" s="20">
        <v>40269</v>
      </c>
      <c r="B6" s="21">
        <v>349869</v>
      </c>
      <c r="C6" s="22" t="str" cm="1">
        <f t="array" ref="C6">IF(ROW()&lt;14,"",IFERROR(B6/INDEX($B:$B,ROW()-12)-1,""))</f>
        <v/>
      </c>
      <c r="D6" s="22" cm="1">
        <f t="array" ref="D6">IF(ROW()&lt;3,"NA",IFERROR(B6/INDEX($B:$B,ROW()-1)-1,"NA"))</f>
        <v>8.3435646474951941E-3</v>
      </c>
      <c r="E6" s="22" cm="1">
        <f t="array" ref="E6">IF(ROW()&lt;5,"NA",IFERROR(B6/INDEX($B:$B,ROW()-3)-1,"NA"))</f>
        <v>3.1778892516212354E-2</v>
      </c>
      <c r="F6" s="23">
        <f t="shared" si="0"/>
        <v>-1.3439417109418157</v>
      </c>
    </row>
    <row r="7" spans="1:6">
      <c r="A7" s="20">
        <v>40299</v>
      </c>
      <c r="B7" s="21">
        <v>346858</v>
      </c>
      <c r="C7" s="22" t="str" cm="1">
        <f t="array" ref="C7">IF(ROW()&lt;14,"",IFERROR(B7/INDEX($B:$B,ROW()-12)-1,""))</f>
        <v/>
      </c>
      <c r="D7" s="22" cm="1">
        <f t="array" ref="D7">IF(ROW()&lt;3,"NA",IFERROR(B7/INDEX($B:$B,ROW()-1)-1,"NA"))</f>
        <v>-8.606078275011475E-3</v>
      </c>
      <c r="E7" s="22" cm="1">
        <f t="array" ref="E7">IF(ROW()&lt;5,"NA",IFERROR(B7/INDEX($B:$B,ROW()-3)-1,"NA"))</f>
        <v>2.1432357618234255E-2</v>
      </c>
      <c r="F7" s="23">
        <f t="shared" si="0"/>
        <v>-1.3691044310405196</v>
      </c>
    </row>
    <row r="8" spans="1:6">
      <c r="A8" s="20">
        <v>40330</v>
      </c>
      <c r="B8" s="21">
        <v>346516</v>
      </c>
      <c r="C8" s="22" t="str" cm="1">
        <f t="array" ref="C8">IF(ROW()&lt;14,"",IFERROR(B8/INDEX($B:$B,ROW()-12)-1,""))</f>
        <v/>
      </c>
      <c r="D8" s="22" cm="1">
        <f t="array" ref="D8">IF(ROW()&lt;3,"NA",IFERROR(B8/INDEX($B:$B,ROW()-1)-1,"NA"))</f>
        <v>-9.8599426854795169E-4</v>
      </c>
      <c r="E8" s="22" cm="1">
        <f t="array" ref="E8">IF(ROW()&lt;5,"NA",IFERROR(B8/INDEX($B:$B,ROW()-3)-1,"NA"))</f>
        <v>-1.3199836298973811E-3</v>
      </c>
      <c r="F8" s="23">
        <f t="shared" si="0"/>
        <v>-1.3719625015399406</v>
      </c>
    </row>
    <row r="9" spans="1:6">
      <c r="A9" s="20">
        <v>40360</v>
      </c>
      <c r="B9" s="21">
        <v>347612</v>
      </c>
      <c r="C9" s="22" t="str" cm="1">
        <f t="array" ref="C9">IF(ROW()&lt;14,"",IFERROR(B9/INDEX($B:$B,ROW()-12)-1,""))</f>
        <v/>
      </c>
      <c r="D9" s="22" cm="1">
        <f t="array" ref="D9">IF(ROW()&lt;3,"NA",IFERROR(B9/INDEX($B:$B,ROW()-1)-1,"NA"))</f>
        <v>3.1629131122372645E-3</v>
      </c>
      <c r="E9" s="22" cm="1">
        <f t="array" ref="E9">IF(ROW()&lt;5,"NA",IFERROR(B9/INDEX($B:$B,ROW()-3)-1,"NA"))</f>
        <v>-6.4509859404520142E-3</v>
      </c>
      <c r="F9" s="23">
        <f t="shared" si="0"/>
        <v>-1.3628033048517374</v>
      </c>
    </row>
    <row r="10" spans="1:6">
      <c r="A10" s="20">
        <v>40391</v>
      </c>
      <c r="B10" s="21">
        <v>349188</v>
      </c>
      <c r="C10" s="22" t="str" cm="1">
        <f t="array" ref="C10">IF(ROW()&lt;14,"",IFERROR(B10/INDEX($B:$B,ROW()-12)-1,""))</f>
        <v/>
      </c>
      <c r="D10" s="22" cm="1">
        <f t="array" ref="D10">IF(ROW()&lt;3,"NA",IFERROR(B10/INDEX($B:$B,ROW()-1)-1,"NA"))</f>
        <v>4.5337905480824503E-3</v>
      </c>
      <c r="E10" s="22" cm="1">
        <f t="array" ref="E10">IF(ROW()&lt;5,"NA",IFERROR(B10/INDEX($B:$B,ROW()-3)-1,"NA"))</f>
        <v>6.7174463325050393E-3</v>
      </c>
      <c r="F10" s="23">
        <f t="shared" si="0"/>
        <v>-1.3496327811468032</v>
      </c>
    </row>
    <row r="11" spans="1:6">
      <c r="A11" s="20">
        <v>40422</v>
      </c>
      <c r="B11" s="21">
        <v>352179</v>
      </c>
      <c r="C11" s="22" t="str" cm="1">
        <f t="array" ref="C11">IF(ROW()&lt;14,"",IFERROR(B11/INDEX($B:$B,ROW()-12)-1,""))</f>
        <v/>
      </c>
      <c r="D11" s="22" cm="1">
        <f t="array" ref="D11">IF(ROW()&lt;3,"NA",IFERROR(B11/INDEX($B:$B,ROW()-1)-1,"NA"))</f>
        <v>8.5655864462697018E-3</v>
      </c>
      <c r="E11" s="22" cm="1">
        <f t="array" ref="E11">IF(ROW()&lt;5,"NA",IFERROR(B11/INDEX($B:$B,ROW()-3)-1,"NA"))</f>
        <v>1.6342679703101659E-2</v>
      </c>
      <c r="F11" s="23">
        <f t="shared" si="0"/>
        <v>-1.3246371996737965</v>
      </c>
    </row>
    <row r="12" spans="1:6">
      <c r="A12" s="20">
        <v>40452</v>
      </c>
      <c r="B12" s="21">
        <v>356215</v>
      </c>
      <c r="C12" s="22" t="str" cm="1">
        <f t="array" ref="C12">IF(ROW()&lt;14,"",IFERROR(B12/INDEX($B:$B,ROW()-12)-1,""))</f>
        <v/>
      </c>
      <c r="D12" s="22" cm="1">
        <f t="array" ref="D12">IF(ROW()&lt;3,"NA",IFERROR(B12/INDEX($B:$B,ROW()-1)-1,"NA"))</f>
        <v>1.1460081379071507E-2</v>
      </c>
      <c r="E12" s="22" cm="1">
        <f t="array" ref="E12">IF(ROW()&lt;5,"NA",IFERROR(B12/INDEX($B:$B,ROW()-3)-1,"NA"))</f>
        <v>2.4748857922050949E-2</v>
      </c>
      <c r="F12" s="23">
        <f t="shared" si="0"/>
        <v>-1.2909086250081145</v>
      </c>
    </row>
    <row r="13" spans="1:6">
      <c r="A13" s="20">
        <v>40483</v>
      </c>
      <c r="B13" s="21">
        <v>359450</v>
      </c>
      <c r="C13" s="22" t="str" cm="1">
        <f t="array" ref="C13">IF(ROW()&lt;14,"",IFERROR(B13/INDEX($B:$B,ROW()-12)-1,""))</f>
        <v/>
      </c>
      <c r="D13" s="22" cm="1">
        <f t="array" ref="D13">IF(ROW()&lt;3,"NA",IFERROR(B13/INDEX($B:$B,ROW()-1)-1,"NA"))</f>
        <v>9.0815939811630386E-3</v>
      </c>
      <c r="E13" s="22" cm="1">
        <f t="array" ref="E13">IF(ROW()&lt;5,"NA",IFERROR(B13/INDEX($B:$B,ROW()-3)-1,"NA"))</f>
        <v>2.9388180578943102E-2</v>
      </c>
      <c r="F13" s="23">
        <f t="shared" si="0"/>
        <v>-1.2638739523016029</v>
      </c>
    </row>
    <row r="14" spans="1:6">
      <c r="A14" s="20">
        <v>40513</v>
      </c>
      <c r="B14" s="21">
        <v>361979</v>
      </c>
      <c r="C14" s="22" t="str" cm="1">
        <f t="array" ref="C14">IF(ROW()&lt;14,"",IFERROR(B14/INDEX($B:$B,ROW()-12)-1,""))</f>
        <v/>
      </c>
      <c r="D14" s="22" cm="1">
        <f t="array" ref="D14">IF(ROW()&lt;3,"NA",IFERROR(B14/INDEX($B:$B,ROW()-1)-1,"NA"))</f>
        <v>7.0357490610655216E-3</v>
      </c>
      <c r="E14" s="22" cm="1">
        <f t="array" ref="E14">IF(ROW()&lt;5,"NA",IFERROR(B14/INDEX($B:$B,ROW()-3)-1,"NA"))</f>
        <v>2.782675855175909E-2</v>
      </c>
      <c r="F14" s="23">
        <f t="shared" si="0"/>
        <v>-1.2427392730822</v>
      </c>
    </row>
    <row r="15" spans="1:6">
      <c r="A15" s="20">
        <v>40544</v>
      </c>
      <c r="B15" s="21">
        <v>364394</v>
      </c>
      <c r="C15" s="22" cm="1">
        <f t="array" ref="C15">IF(ROW()&lt;14,"",IFERROR(B15/INDEX($B:$B,ROW()-12)-1,""))</f>
        <v>7.4613749030501886E-2</v>
      </c>
      <c r="D15" s="22" cm="1">
        <f t="array" ref="D15">IF(ROW()&lt;3,"NA",IFERROR(B15/INDEX($B:$B,ROW()-1)-1,"NA"))</f>
        <v>6.6716577481014117E-3</v>
      </c>
      <c r="E15" s="22" cm="1">
        <f t="array" ref="E15">IF(ROW()&lt;5,"NA",IFERROR(B15/INDEX($B:$B,ROW()-3)-1,"NA"))</f>
        <v>2.2960852294260592E-2</v>
      </c>
      <c r="F15" s="23">
        <f t="shared" si="0"/>
        <v>-1.2225572840292709</v>
      </c>
    </row>
    <row r="16" spans="1:6">
      <c r="A16" s="20">
        <v>40575</v>
      </c>
      <c r="B16" s="21">
        <v>367475</v>
      </c>
      <c r="C16" s="22" cm="1">
        <f t="array" ref="C16">IF(ROW()&lt;14,"",IFERROR(B16/INDEX($B:$B,ROW()-12)-1,""))</f>
        <v>8.2145591613169255E-2</v>
      </c>
      <c r="D16" s="22" cm="1">
        <f t="array" ref="D16">IF(ROW()&lt;3,"NA",IFERROR(B16/INDEX($B:$B,ROW()-1)-1,"NA"))</f>
        <v>8.4551337288758521E-3</v>
      </c>
      <c r="E16" s="22" cm="1">
        <f t="array" ref="E16">IF(ROW()&lt;5,"NA",IFERROR(B16/INDEX($B:$B,ROW()-3)-1,"NA"))</f>
        <v>2.2325775490332544E-2</v>
      </c>
      <c r="F16" s="23">
        <f t="shared" si="0"/>
        <v>-1.1968095787406272</v>
      </c>
    </row>
    <row r="17" spans="1:6">
      <c r="A17" s="20">
        <v>40603</v>
      </c>
      <c r="B17" s="21">
        <v>370775</v>
      </c>
      <c r="C17" s="22" cm="1">
        <f t="array" ref="C17">IF(ROW()&lt;14,"",IFERROR(B17/INDEX($B:$B,ROW()-12)-1,""))</f>
        <v>6.8595917849752386E-2</v>
      </c>
      <c r="D17" s="22" cm="1">
        <f t="array" ref="D17">IF(ROW()&lt;3,"NA",IFERROR(B17/INDEX($B:$B,ROW()-1)-1,"NA"))</f>
        <v>8.9802027348799829E-3</v>
      </c>
      <c r="E17" s="22" cm="1">
        <f t="array" ref="E17">IF(ROW()&lt;5,"NA",IFERROR(B17/INDEX($B:$B,ROW()-3)-1,"NA"))</f>
        <v>2.4299752195569457E-2</v>
      </c>
      <c r="F17" s="23">
        <f t="shared" si="0"/>
        <v>-1.1692317055005996</v>
      </c>
    </row>
    <row r="18" spans="1:6">
      <c r="A18" s="20">
        <v>40634</v>
      </c>
      <c r="B18" s="21">
        <v>372820</v>
      </c>
      <c r="C18" s="22" cm="1">
        <f t="array" ref="C18">IF(ROW()&lt;14,"",IFERROR(B18/INDEX($B:$B,ROW()-12)-1,""))</f>
        <v>6.5598838422380901E-2</v>
      </c>
      <c r="D18" s="22" cm="1">
        <f t="array" ref="D18">IF(ROW()&lt;3,"NA",IFERROR(B18/INDEX($B:$B,ROW()-1)-1,"NA"))</f>
        <v>5.5154743442789034E-3</v>
      </c>
      <c r="E18" s="22" cm="1">
        <f t="array" ref="E18">IF(ROW()&lt;5,"NA",IFERROR(B18/INDEX($B:$B,ROW()-3)-1,"NA"))</f>
        <v>2.3123322557451642E-2</v>
      </c>
      <c r="F18" s="23">
        <f t="shared" si="0"/>
        <v>-1.1521417810230676</v>
      </c>
    </row>
    <row r="19" spans="1:6">
      <c r="A19" s="20">
        <v>40664</v>
      </c>
      <c r="B19" s="21">
        <v>372505</v>
      </c>
      <c r="C19" s="22" cm="1">
        <f t="array" ref="C19">IF(ROW()&lt;14,"",IFERROR(B19/INDEX($B:$B,ROW()-12)-1,""))</f>
        <v>7.3940921068563981E-2</v>
      </c>
      <c r="D19" s="22" cm="1">
        <f t="array" ref="D19">IF(ROW()&lt;3,"NA",IFERROR(B19/INDEX($B:$B,ROW()-1)-1,"NA"))</f>
        <v>-8.4491175366130378E-4</v>
      </c>
      <c r="E19" s="22" cm="1">
        <f t="array" ref="E19">IF(ROW()&lt;5,"NA",IFERROR(B19/INDEX($B:$B,ROW()-3)-1,"NA"))</f>
        <v>1.3688005986801866E-2</v>
      </c>
      <c r="F19" s="23">
        <f t="shared" si="0"/>
        <v>-1.1547742143777975</v>
      </c>
    </row>
    <row r="20" spans="1:6">
      <c r="A20" s="20">
        <v>40695</v>
      </c>
      <c r="B20" s="21">
        <v>375587</v>
      </c>
      <c r="C20" s="22" cm="1">
        <f t="array" ref="C20">IF(ROW()&lt;14,"",IFERROR(B20/INDEX($B:$B,ROW()-12)-1,""))</f>
        <v>8.3895115954241595E-2</v>
      </c>
      <c r="D20" s="22" cm="1">
        <f t="array" ref="D20">IF(ROW()&lt;3,"NA",IFERROR(B20/INDEX($B:$B,ROW()-1)-1,"NA"))</f>
        <v>8.2737144467859292E-3</v>
      </c>
      <c r="E20" s="22" cm="1">
        <f t="array" ref="E20">IF(ROW()&lt;5,"NA",IFERROR(B20/INDEX($B:$B,ROW()-3)-1,"NA"))</f>
        <v>1.2978221293237224E-2</v>
      </c>
      <c r="F20" s="23">
        <f t="shared" si="0"/>
        <v>-1.1290181521578688</v>
      </c>
    </row>
    <row r="21" spans="1:6">
      <c r="A21" s="20">
        <v>40725</v>
      </c>
      <c r="B21" s="21">
        <v>375442</v>
      </c>
      <c r="C21" s="22" cm="1">
        <f t="array" ref="C21">IF(ROW()&lt;14,"",IFERROR(B21/INDEX($B:$B,ROW()-12)-1,""))</f>
        <v>8.0060527254525171E-2</v>
      </c>
      <c r="D21" s="22" cm="1">
        <f t="array" ref="D21">IF(ROW()&lt;3,"NA",IFERROR(B21/INDEX($B:$B,ROW()-1)-1,"NA"))</f>
        <v>-3.860623504008398E-4</v>
      </c>
      <c r="E21" s="22" cm="1">
        <f t="array" ref="E21">IF(ROW()&lt;5,"NA",IFERROR(B21/INDEX($B:$B,ROW()-3)-1,"NA"))</f>
        <v>7.0328845019043129E-3</v>
      </c>
      <c r="F21" s="23">
        <f t="shared" si="0"/>
        <v>-1.130229907194173</v>
      </c>
    </row>
    <row r="22" spans="1:6">
      <c r="A22" s="20">
        <v>40756</v>
      </c>
      <c r="B22" s="21">
        <v>375860</v>
      </c>
      <c r="C22" s="22" cm="1">
        <f t="array" ref="C22">IF(ROW()&lt;14,"",IFERROR(B22/INDEX($B:$B,ROW()-12)-1,""))</f>
        <v>7.6382922666300201E-2</v>
      </c>
      <c r="D22" s="22" cm="1">
        <f t="array" ref="D22">IF(ROW()&lt;3,"NA",IFERROR(B22/INDEX($B:$B,ROW()-1)-1,"NA"))</f>
        <v>1.1133543929555678E-3</v>
      </c>
      <c r="E22" s="22" cm="1">
        <f t="array" ref="E22">IF(ROW()&lt;5,"NA",IFERROR(B22/INDEX($B:$B,ROW()-3)-1,"NA"))</f>
        <v>9.0065905155636283E-3</v>
      </c>
      <c r="F22" s="23">
        <f t="shared" si="0"/>
        <v>-1.1267367099171031</v>
      </c>
    </row>
    <row r="23" spans="1:6">
      <c r="A23" s="20">
        <v>40787</v>
      </c>
      <c r="B23" s="21">
        <v>380042</v>
      </c>
      <c r="C23" s="22" cm="1">
        <f t="array" ref="C23">IF(ROW()&lt;14,"",IFERROR(B23/INDEX($B:$B,ROW()-12)-1,""))</f>
        <v>7.9116017706904795E-2</v>
      </c>
      <c r="D23" s="22" cm="1">
        <f t="array" ref="D23">IF(ROW()&lt;3,"NA",IFERROR(B23/INDEX($B:$B,ROW()-1)-1,"NA"))</f>
        <v>1.1126483265045506E-2</v>
      </c>
      <c r="E23" s="22" cm="1">
        <f t="array" ref="E23">IF(ROW()&lt;5,"NA",IFERROR(B23/INDEX($B:$B,ROW()-3)-1,"NA"))</f>
        <v>1.1861432903694791E-2</v>
      </c>
      <c r="F23" s="23">
        <f t="shared" si="0"/>
        <v>-1.091788023283832</v>
      </c>
    </row>
    <row r="24" spans="1:6">
      <c r="A24" s="20">
        <v>40817</v>
      </c>
      <c r="B24" s="21">
        <v>382207</v>
      </c>
      <c r="C24" s="22" cm="1">
        <f t="array" ref="C24">IF(ROW()&lt;14,"",IFERROR(B24/INDEX($B:$B,ROW()-12)-1,""))</f>
        <v>7.296716870429365E-2</v>
      </c>
      <c r="D24" s="22" cm="1">
        <f t="array" ref="D24">IF(ROW()&lt;3,"NA",IFERROR(B24/INDEX($B:$B,ROW()-1)-1,"NA"))</f>
        <v>5.6967387815030079E-3</v>
      </c>
      <c r="E24" s="22" cm="1">
        <f t="array" ref="E24">IF(ROW()&lt;5,"NA",IFERROR(B24/INDEX($B:$B,ROW()-3)-1,"NA"))</f>
        <v>1.8018761885990386E-2</v>
      </c>
      <c r="F24" s="23">
        <f t="shared" si="0"/>
        <v>-1.0736952670521169</v>
      </c>
    </row>
    <row r="25" spans="1:6">
      <c r="A25" s="20">
        <v>40848</v>
      </c>
      <c r="B25" s="21">
        <v>383422</v>
      </c>
      <c r="C25" s="22" cm="1">
        <f t="array" ref="C25">IF(ROW()&lt;14,"",IFERROR(B25/INDEX($B:$B,ROW()-12)-1,""))</f>
        <v>6.6690777576853488E-2</v>
      </c>
      <c r="D25" s="22" cm="1">
        <f t="array" ref="D25">IF(ROW()&lt;3,"NA",IFERROR(B25/INDEX($B:$B,ROW()-1)-1,"NA"))</f>
        <v>3.1789056715341157E-3</v>
      </c>
      <c r="E25" s="22" cm="1">
        <f t="array" ref="E25">IF(ROW()&lt;5,"NA",IFERROR(B25/INDEX($B:$B,ROW()-3)-1,"NA"))</f>
        <v>2.0119193316660455E-2</v>
      </c>
      <c r="F25" s="23">
        <f t="shared" si="0"/>
        <v>-1.0635415955410159</v>
      </c>
    </row>
    <row r="26" spans="1:6">
      <c r="A26" s="20">
        <v>40878</v>
      </c>
      <c r="B26" s="21">
        <v>383985</v>
      </c>
      <c r="C26" s="22" cm="1">
        <f t="array" ref="C26">IF(ROW()&lt;14,"",IFERROR(B26/INDEX($B:$B,ROW()-12)-1,""))</f>
        <v>6.0793581948124009E-2</v>
      </c>
      <c r="D26" s="22" cm="1">
        <f t="array" ref="D26">IF(ROW()&lt;3,"NA",IFERROR(B26/INDEX($B:$B,ROW()-1)-1,"NA"))</f>
        <v>1.4683560150434705E-3</v>
      </c>
      <c r="E26" s="22" cm="1">
        <f t="array" ref="E26">IF(ROW()&lt;5,"NA",IFERROR(B26/INDEX($B:$B,ROW()-3)-1,"NA"))</f>
        <v>1.0375169060261813E-2</v>
      </c>
      <c r="F26" s="23">
        <f t="shared" si="0"/>
        <v>-1.0588366432276415</v>
      </c>
    </row>
    <row r="27" spans="1:6">
      <c r="A27" s="20">
        <v>40909</v>
      </c>
      <c r="B27" s="21">
        <v>387531</v>
      </c>
      <c r="C27" s="22" cm="1">
        <f t="array" ref="C27">IF(ROW()&lt;14,"",IFERROR(B27/INDEX($B:$B,ROW()-12)-1,""))</f>
        <v>6.3494459294060723E-2</v>
      </c>
      <c r="D27" s="22" cm="1">
        <f t="array" ref="D27">IF(ROW()&lt;3,"NA",IFERROR(B27/INDEX($B:$B,ROW()-1)-1,"NA"))</f>
        <v>9.2347357318645074E-3</v>
      </c>
      <c r="E27" s="22" cm="1">
        <f t="array" ref="E27">IF(ROW()&lt;5,"NA",IFERROR(B27/INDEX($B:$B,ROW()-3)-1,"NA"))</f>
        <v>1.3929624522837081E-2</v>
      </c>
      <c r="F27" s="23">
        <f t="shared" si="0"/>
        <v>-1.0292029648915393</v>
      </c>
    </row>
    <row r="28" spans="1:6">
      <c r="A28" s="20">
        <v>40940</v>
      </c>
      <c r="B28" s="21">
        <v>392310</v>
      </c>
      <c r="C28" s="22" cm="1">
        <f t="array" ref="C28">IF(ROW()&lt;14,"",IFERROR(B28/INDEX($B:$B,ROW()-12)-1,""))</f>
        <v>6.7582828763861569E-2</v>
      </c>
      <c r="D28" s="22" cm="1">
        <f t="array" ref="D28">IF(ROW()&lt;3,"NA",IFERROR(B28/INDEX($B:$B,ROW()-1)-1,"NA"))</f>
        <v>1.2331916672472687E-2</v>
      </c>
      <c r="E28" s="22" cm="1">
        <f t="array" ref="E28">IF(ROW()&lt;5,"NA",IFERROR(B28/INDEX($B:$B,ROW()-3)-1,"NA"))</f>
        <v>2.3180725154007931E-2</v>
      </c>
      <c r="F28" s="23">
        <f t="shared" si="0"/>
        <v>-0.98926519028120885</v>
      </c>
    </row>
    <row r="29" spans="1:6">
      <c r="A29" s="20">
        <v>40969</v>
      </c>
      <c r="B29" s="21">
        <v>393698</v>
      </c>
      <c r="C29" s="22" cm="1">
        <f t="array" ref="C29">IF(ROW()&lt;14,"",IFERROR(B29/INDEX($B:$B,ROW()-12)-1,""))</f>
        <v>6.1824556671836062E-2</v>
      </c>
      <c r="D29" s="22" cm="1">
        <f t="array" ref="D29">IF(ROW()&lt;3,"NA",IFERROR(B29/INDEX($B:$B,ROW()-1)-1,"NA"))</f>
        <v>3.5380184038134033E-3</v>
      </c>
      <c r="E29" s="22" cm="1">
        <f t="array" ref="E29">IF(ROW()&lt;5,"NA",IFERROR(B29/INDEX($B:$B,ROW()-3)-1,"NA"))</f>
        <v>2.5295258929385334E-2</v>
      </c>
      <c r="F29" s="23">
        <f t="shared" si="0"/>
        <v>-0.97766576965782759</v>
      </c>
    </row>
    <row r="30" spans="1:6">
      <c r="A30" s="20">
        <v>41000</v>
      </c>
      <c r="B30" s="21">
        <v>392073</v>
      </c>
      <c r="C30" s="22" cm="1">
        <f t="array" ref="C30">IF(ROW()&lt;14,"",IFERROR(B30/INDEX($B:$B,ROW()-12)-1,""))</f>
        <v>5.1641542835684673E-2</v>
      </c>
      <c r="D30" s="22" cm="1">
        <f t="array" ref="D30">IF(ROW()&lt;3,"NA",IFERROR(B30/INDEX($B:$B,ROW()-1)-1,"NA"))</f>
        <v>-4.1275292229069338E-3</v>
      </c>
      <c r="E30" s="22" cm="1">
        <f t="array" ref="E30">IF(ROW()&lt;5,"NA",IFERROR(B30/INDEX($B:$B,ROW()-3)-1,"NA"))</f>
        <v>1.1720352694364999E-2</v>
      </c>
      <c r="F30" s="23">
        <f t="shared" si="0"/>
        <v>-0.99124578299571986</v>
      </c>
    </row>
    <row r="31" spans="1:6">
      <c r="A31" s="20">
        <v>41030</v>
      </c>
      <c r="B31" s="21">
        <v>391376</v>
      </c>
      <c r="C31" s="22" cm="1">
        <f t="array" ref="C31">IF(ROW()&lt;14,"",IFERROR(B31/INDEX($B:$B,ROW()-12)-1,""))</f>
        <v>5.0659722688286113E-2</v>
      </c>
      <c r="D31" s="22" cm="1">
        <f t="array" ref="D31">IF(ROW()&lt;3,"NA",IFERROR(B31/INDEX($B:$B,ROW()-1)-1,"NA"))</f>
        <v>-1.7777301675963031E-3</v>
      </c>
      <c r="E31" s="22" cm="1">
        <f t="array" ref="E31">IF(ROW()&lt;5,"NA",IFERROR(B31/INDEX($B:$B,ROW()-3)-1,"NA"))</f>
        <v>-2.3807703091942578E-3</v>
      </c>
      <c r="F31" s="23">
        <f t="shared" si="0"/>
        <v>-0.99707056410126504</v>
      </c>
    </row>
    <row r="32" spans="1:6">
      <c r="A32" s="20">
        <v>41061</v>
      </c>
      <c r="B32" s="21">
        <v>387901</v>
      </c>
      <c r="C32" s="22" cm="1">
        <f t="array" ref="C32">IF(ROW()&lt;14,"",IFERROR(B32/INDEX($B:$B,ROW()-12)-1,""))</f>
        <v>3.2786012295420219E-2</v>
      </c>
      <c r="D32" s="22" cm="1">
        <f t="array" ref="D32">IF(ROW()&lt;3,"NA",IFERROR(B32/INDEX($B:$B,ROW()-1)-1,"NA"))</f>
        <v>-8.8789297248681454E-3</v>
      </c>
      <c r="E32" s="22" cm="1">
        <f t="array" ref="E32">IF(ROW()&lt;5,"NA",IFERROR(B32/INDEX($B:$B,ROW()-3)-1,"NA"))</f>
        <v>-1.4724484249348468E-2</v>
      </c>
      <c r="F32" s="23">
        <f t="shared" si="0"/>
        <v>-1.0261109003161424</v>
      </c>
    </row>
    <row r="33" spans="1:6">
      <c r="A33" s="20">
        <v>41091</v>
      </c>
      <c r="B33" s="21">
        <v>389686</v>
      </c>
      <c r="C33" s="22" cm="1">
        <f t="array" ref="C33">IF(ROW()&lt;14,"",IFERROR(B33/INDEX($B:$B,ROW()-12)-1,""))</f>
        <v>3.7939282232675176E-2</v>
      </c>
      <c r="D33" s="22" cm="1">
        <f t="array" ref="D33">IF(ROW()&lt;3,"NA",IFERROR(B33/INDEX($B:$B,ROW()-1)-1,"NA"))</f>
        <v>4.6016896063685309E-3</v>
      </c>
      <c r="E33" s="22" cm="1">
        <f t="array" ref="E33">IF(ROW()&lt;5,"NA",IFERROR(B33/INDEX($B:$B,ROW()-3)-1,"NA"))</f>
        <v>-6.0881519512947513E-3</v>
      </c>
      <c r="F33" s="23">
        <f t="shared" si="0"/>
        <v>-1.011193777972673</v>
      </c>
    </row>
    <row r="34" spans="1:6">
      <c r="A34" s="20">
        <v>41122</v>
      </c>
      <c r="B34" s="21">
        <v>394524</v>
      </c>
      <c r="C34" s="22" cm="1">
        <f t="array" ref="C34">IF(ROW()&lt;14,"",IFERROR(B34/INDEX($B:$B,ROW()-12)-1,""))</f>
        <v>4.965678710158028E-2</v>
      </c>
      <c r="D34" s="22" cm="1">
        <f t="array" ref="D34">IF(ROW()&lt;3,"NA",IFERROR(B34/INDEX($B:$B,ROW()-1)-1,"NA"))</f>
        <v>1.2415123971607933E-2</v>
      </c>
      <c r="E34" s="22" cm="1">
        <f t="array" ref="E34">IF(ROW()&lt;5,"NA",IFERROR(B34/INDEX($B:$B,ROW()-3)-1,"NA"))</f>
        <v>8.0434160500388874E-3</v>
      </c>
      <c r="F34" s="23">
        <f t="shared" si="0"/>
        <v>-0.97076294441653588</v>
      </c>
    </row>
    <row r="35" spans="1:6">
      <c r="A35" s="20">
        <v>41153</v>
      </c>
      <c r="B35" s="21">
        <v>397681</v>
      </c>
      <c r="C35" s="22" cm="1">
        <f t="array" ref="C35">IF(ROW()&lt;14,"",IFERROR(B35/INDEX($B:$B,ROW()-12)-1,""))</f>
        <v>4.6413291162555659E-2</v>
      </c>
      <c r="D35" s="22" cm="1">
        <f t="array" ref="D35">IF(ROW()&lt;3,"NA",IFERROR(B35/INDEX($B:$B,ROW()-1)-1,"NA"))</f>
        <v>8.0020480376352676E-3</v>
      </c>
      <c r="E35" s="22" cm="1">
        <f t="array" ref="E35">IF(ROW()&lt;5,"NA",IFERROR(B35/INDEX($B:$B,ROW()-3)-1,"NA"))</f>
        <v>2.5212618683633226E-2</v>
      </c>
      <c r="F35" s="23">
        <f t="shared" si="0"/>
        <v>-0.944380112350243</v>
      </c>
    </row>
    <row r="36" spans="1:6">
      <c r="A36" s="20">
        <v>41183</v>
      </c>
      <c r="B36" s="21">
        <v>397494</v>
      </c>
      <c r="C36" s="22" cm="1">
        <f t="array" ref="C36">IF(ROW()&lt;14,"",IFERROR(B36/INDEX($B:$B,ROW()-12)-1,""))</f>
        <v>3.9996651029416075E-2</v>
      </c>
      <c r="D36" s="22" cm="1">
        <f t="array" ref="D36">IF(ROW()&lt;3,"NA",IFERROR(B36/INDEX($B:$B,ROW()-1)-1,"NA"))</f>
        <v>-4.7022613602354379E-4</v>
      </c>
      <c r="E36" s="22" cm="1">
        <f t="array" ref="E36">IF(ROW()&lt;5,"NA",IFERROR(B36/INDEX($B:$B,ROW()-3)-1,"NA"))</f>
        <v>2.0036644888448585E-2</v>
      </c>
      <c r="F36" s="23">
        <f t="shared" si="0"/>
        <v>-0.94594285850051119</v>
      </c>
    </row>
    <row r="37" spans="1:6">
      <c r="A37" s="20">
        <v>41214</v>
      </c>
      <c r="B37" s="21">
        <v>399708</v>
      </c>
      <c r="C37" s="22" cm="1">
        <f t="array" ref="C37">IF(ROW()&lt;14,"",IFERROR(B37/INDEX($B:$B,ROW()-12)-1,""))</f>
        <v>4.247539264830924E-2</v>
      </c>
      <c r="D37" s="22" cm="1">
        <f t="array" ref="D37">IF(ROW()&lt;3,"NA",IFERROR(B37/INDEX($B:$B,ROW()-1)-1,"NA"))</f>
        <v>5.5698953946474727E-3</v>
      </c>
      <c r="E37" s="22" cm="1">
        <f t="array" ref="E37">IF(ROW()&lt;5,"NA",IFERROR(B37/INDEX($B:$B,ROW()-3)-1,"NA"))</f>
        <v>1.3139885026006048E-2</v>
      </c>
      <c r="F37" s="23">
        <f t="shared" si="0"/>
        <v>-0.92744061263583832</v>
      </c>
    </row>
    <row r="38" spans="1:6">
      <c r="A38" s="20">
        <v>41244</v>
      </c>
      <c r="B38" s="21">
        <v>401093</v>
      </c>
      <c r="C38" s="22" cm="1">
        <f t="array" ref="C38">IF(ROW()&lt;14,"",IFERROR(B38/INDEX($B:$B,ROW()-12)-1,""))</f>
        <v>4.4553823717072172E-2</v>
      </c>
      <c r="D38" s="22" cm="1">
        <f t="array" ref="D38">IF(ROW()&lt;3,"NA",IFERROR(B38/INDEX($B:$B,ROW()-1)-1,"NA"))</f>
        <v>3.4650294715141694E-3</v>
      </c>
      <c r="E38" s="22" cm="1">
        <f t="array" ref="E38">IF(ROW()&lt;5,"NA",IFERROR(B38/INDEX($B:$B,ROW()-3)-1,"NA"))</f>
        <v>8.5797410487300496E-3</v>
      </c>
      <c r="F38" s="23">
        <f t="shared" si="0"/>
        <v>-0.91586626280631167</v>
      </c>
    </row>
    <row r="39" spans="1:6">
      <c r="A39" s="20">
        <v>41275</v>
      </c>
      <c r="B39" s="21">
        <v>404434</v>
      </c>
      <c r="C39" s="22" cm="1">
        <f t="array" ref="C39">IF(ROW()&lt;14,"",IFERROR(B39/INDEX($B:$B,ROW()-12)-1,""))</f>
        <v>4.3617155788827189E-2</v>
      </c>
      <c r="D39" s="22" cm="1">
        <f t="array" ref="D39">IF(ROW()&lt;3,"NA",IFERROR(B39/INDEX($B:$B,ROW()-1)-1,"NA"))</f>
        <v>8.3297389882146522E-3</v>
      </c>
      <c r="E39" s="22" cm="1">
        <f t="array" ref="E39">IF(ROW()&lt;5,"NA",IFERROR(B39/INDEX($B:$B,ROW()-3)-1,"NA"))</f>
        <v>1.7459383034712506E-2</v>
      </c>
      <c r="F39" s="23">
        <f t="shared" si="0"/>
        <v>-0.8879457553836051</v>
      </c>
    </row>
    <row r="40" spans="1:6">
      <c r="A40" s="20">
        <v>41306</v>
      </c>
      <c r="B40" s="21">
        <v>409118</v>
      </c>
      <c r="C40" s="22" cm="1">
        <f t="array" ref="C40">IF(ROW()&lt;14,"",IFERROR(B40/INDEX($B:$B,ROW()-12)-1,""))</f>
        <v>4.2843669547041774E-2</v>
      </c>
      <c r="D40" s="22" cm="1">
        <f t="array" ref="D40">IF(ROW()&lt;3,"NA",IFERROR(B40/INDEX($B:$B,ROW()-1)-1,"NA"))</f>
        <v>1.1581617767052244E-2</v>
      </c>
      <c r="E40" s="22" cm="1">
        <f t="array" ref="E40">IF(ROW()&lt;5,"NA",IFERROR(B40/INDEX($B:$B,ROW()-3)-1,"NA"))</f>
        <v>2.3542185795630832E-2</v>
      </c>
      <c r="F40" s="23">
        <f t="shared" si="0"/>
        <v>-0.84880188924533595</v>
      </c>
    </row>
    <row r="41" spans="1:6">
      <c r="A41" s="20">
        <v>41334</v>
      </c>
      <c r="B41" s="21">
        <v>406223</v>
      </c>
      <c r="C41" s="22" cm="1">
        <f t="array" ref="C41">IF(ROW()&lt;14,"",IFERROR(B41/INDEX($B:$B,ROW()-12)-1,""))</f>
        <v>3.1813725241174762E-2</v>
      </c>
      <c r="D41" s="22" cm="1">
        <f t="array" ref="D41">IF(ROW()&lt;3,"NA",IFERROR(B41/INDEX($B:$B,ROW()-1)-1,"NA"))</f>
        <v>-7.0761980651059542E-3</v>
      </c>
      <c r="E41" s="22" cm="1">
        <f t="array" ref="E41">IF(ROW()&lt;5,"NA",IFERROR(B41/INDEX($B:$B,ROW()-3)-1,"NA"))</f>
        <v>1.2790051185136653E-2</v>
      </c>
      <c r="F41" s="23">
        <f t="shared" si="0"/>
        <v>-0.8729952053149963</v>
      </c>
    </row>
    <row r="42" spans="1:6">
      <c r="A42" s="20">
        <v>41365</v>
      </c>
      <c r="B42" s="21">
        <v>404231</v>
      </c>
      <c r="C42" s="22" cm="1">
        <f t="array" ref="C42">IF(ROW()&lt;14,"",IFERROR(B42/INDEX($B:$B,ROW()-12)-1,""))</f>
        <v>3.1009531388287437E-2</v>
      </c>
      <c r="D42" s="22" cm="1">
        <f t="array" ref="D42">IF(ROW()&lt;3,"NA",IFERROR(B42/INDEX($B:$B,ROW()-1)-1,"NA"))</f>
        <v>-4.9037105235302247E-3</v>
      </c>
      <c r="E42" s="22" cm="1">
        <f t="array" ref="E42">IF(ROW()&lt;5,"NA",IFERROR(B42/INDEX($B:$B,ROW()-3)-1,"NA"))</f>
        <v>-5.0193603900761108E-4</v>
      </c>
      <c r="F42" s="23">
        <f t="shared" si="0"/>
        <v>-0.88964221243443109</v>
      </c>
    </row>
    <row r="43" spans="1:6">
      <c r="A43" s="20">
        <v>41395</v>
      </c>
      <c r="B43" s="21">
        <v>406677</v>
      </c>
      <c r="C43" s="22" cm="1">
        <f t="array" ref="C43">IF(ROW()&lt;14,"",IFERROR(B43/INDEX($B:$B,ROW()-12)-1,""))</f>
        <v>3.9095396754016631E-2</v>
      </c>
      <c r="D43" s="22" cm="1">
        <f t="array" ref="D43">IF(ROW()&lt;3,"NA",IFERROR(B43/INDEX($B:$B,ROW()-1)-1,"NA"))</f>
        <v>6.05099559410327E-3</v>
      </c>
      <c r="E43" s="22" cm="1">
        <f t="array" ref="E43">IF(ROW()&lt;5,"NA",IFERROR(B43/INDEX($B:$B,ROW()-3)-1,"NA"))</f>
        <v>-5.9664937744122737E-3</v>
      </c>
      <c r="F43" s="23">
        <f t="shared" si="0"/>
        <v>-0.86920115851167135</v>
      </c>
    </row>
    <row r="44" spans="1:6">
      <c r="A44" s="20">
        <v>41426</v>
      </c>
      <c r="B44" s="21">
        <v>407921</v>
      </c>
      <c r="C44" s="22" cm="1">
        <f t="array" ref="C44">IF(ROW()&lt;14,"",IFERROR(B44/INDEX($B:$B,ROW()-12)-1,""))</f>
        <v>5.1611106957703212E-2</v>
      </c>
      <c r="D44" s="22" cm="1">
        <f t="array" ref="D44">IF(ROW()&lt;3,"NA",IFERROR(B44/INDEX($B:$B,ROW()-1)-1,"NA"))</f>
        <v>3.0589386663126827E-3</v>
      </c>
      <c r="E44" s="22" cm="1">
        <f t="array" ref="E44">IF(ROW()&lt;5,"NA",IFERROR(B44/INDEX($B:$B,ROW()-3)-1,"NA"))</f>
        <v>4.1799701149367596E-3</v>
      </c>
      <c r="F44" s="23">
        <f t="shared" si="0"/>
        <v>-0.85880513599330954</v>
      </c>
    </row>
    <row r="45" spans="1:6">
      <c r="A45" s="20">
        <v>41456</v>
      </c>
      <c r="B45" s="21">
        <v>410268</v>
      </c>
      <c r="C45" s="22" cm="1">
        <f t="array" ref="C45">IF(ROW()&lt;14,"",IFERROR(B45/INDEX($B:$B,ROW()-12)-1,""))</f>
        <v>5.2816883336840537E-2</v>
      </c>
      <c r="D45" s="22" cm="1">
        <f t="array" ref="D45">IF(ROW()&lt;3,"NA",IFERROR(B45/INDEX($B:$B,ROW()-1)-1,"NA"))</f>
        <v>5.7535650285227558E-3</v>
      </c>
      <c r="E45" s="22" cm="1">
        <f t="array" ref="E45">IF(ROW()&lt;5,"NA",IFERROR(B45/INDEX($B:$B,ROW()-3)-1,"NA"))</f>
        <v>1.4934530008831493E-2</v>
      </c>
      <c r="F45" s="23">
        <f t="shared" si="0"/>
        <v>-0.83919141826775057</v>
      </c>
    </row>
    <row r="46" spans="1:6">
      <c r="A46" s="20">
        <v>41487</v>
      </c>
      <c r="B46" s="21">
        <v>409691</v>
      </c>
      <c r="C46" s="22" cm="1">
        <f t="array" ref="C46">IF(ROW()&lt;14,"",IFERROR(B46/INDEX($B:$B,ROW()-12)-1,""))</f>
        <v>3.844379556123334E-2</v>
      </c>
      <c r="D46" s="22" cm="1">
        <f t="array" ref="D46">IF(ROW()&lt;3,"NA",IFERROR(B46/INDEX($B:$B,ROW()-1)-1,"NA"))</f>
        <v>-1.4063977692629903E-3</v>
      </c>
      <c r="E46" s="22" cm="1">
        <f t="array" ref="E46">IF(ROW()&lt;5,"NA",IFERROR(B46/INDEX($B:$B,ROW()-3)-1,"NA"))</f>
        <v>7.411287090246077E-3</v>
      </c>
      <c r="F46" s="23">
        <f t="shared" si="0"/>
        <v>-0.84401336761911294</v>
      </c>
    </row>
    <row r="47" spans="1:6">
      <c r="A47" s="20">
        <v>41518</v>
      </c>
      <c r="B47" s="21">
        <v>410044</v>
      </c>
      <c r="C47" s="22" cm="1">
        <f t="array" ref="C47">IF(ROW()&lt;14,"",IFERROR(B47/INDEX($B:$B,ROW()-12)-1,""))</f>
        <v>3.1087731121175022E-2</v>
      </c>
      <c r="D47" s="22" cm="1">
        <f t="array" ref="D47">IF(ROW()&lt;3,"NA",IFERROR(B47/INDEX($B:$B,ROW()-1)-1,"NA"))</f>
        <v>8.6162498077824168E-4</v>
      </c>
      <c r="E47" s="22" cm="1">
        <f t="array" ref="E47">IF(ROW()&lt;5,"NA",IFERROR(B47/INDEX($B:$B,ROW()-3)-1,"NA"))</f>
        <v>5.2044390948247088E-3</v>
      </c>
      <c r="F47" s="23">
        <f t="shared" si="0"/>
        <v>-0.84106337087555849</v>
      </c>
    </row>
    <row r="48" spans="1:6">
      <c r="A48" s="20">
        <v>41548</v>
      </c>
      <c r="B48" s="21">
        <v>411399</v>
      </c>
      <c r="C48" s="22" cm="1">
        <f t="array" ref="C48">IF(ROW()&lt;14,"",IFERROR(B48/INDEX($B:$B,ROW()-12)-1,""))</f>
        <v>3.4981660100529721E-2</v>
      </c>
      <c r="D48" s="22" cm="1">
        <f t="array" ref="D48">IF(ROW()&lt;3,"NA",IFERROR(B48/INDEX($B:$B,ROW()-1)-1,"NA"))</f>
        <v>3.3045234169990501E-3</v>
      </c>
      <c r="E48" s="22" cm="1">
        <f t="array" ref="E48">IF(ROW()&lt;5,"NA",IFERROR(B48/INDEX($B:$B,ROW()-3)-1,"NA"))</f>
        <v>2.7567346222470146E-3</v>
      </c>
      <c r="F48" s="23">
        <f t="shared" si="0"/>
        <v>-0.8297397289845776</v>
      </c>
    </row>
    <row r="49" spans="1:6">
      <c r="A49" s="20">
        <v>41579</v>
      </c>
      <c r="B49" s="21">
        <v>412561</v>
      </c>
      <c r="C49" s="22" cm="1">
        <f t="array" ref="C49">IF(ROW()&lt;14,"",IFERROR(B49/INDEX($B:$B,ROW()-12)-1,""))</f>
        <v>3.2155973860918508E-2</v>
      </c>
      <c r="D49" s="22" cm="1">
        <f t="array" ref="D49">IF(ROW()&lt;3,"NA",IFERROR(B49/INDEX($B:$B,ROW()-1)-1,"NA"))</f>
        <v>2.8245085671088077E-3</v>
      </c>
      <c r="E49" s="22" cm="1">
        <f t="array" ref="E49">IF(ROW()&lt;5,"NA",IFERROR(B49/INDEX($B:$B,ROW()-3)-1,"NA"))</f>
        <v>7.0052795887631802E-3</v>
      </c>
      <c r="F49" s="23">
        <f t="shared" si="0"/>
        <v>-0.820028974831574</v>
      </c>
    </row>
    <row r="50" spans="1:6">
      <c r="A50" s="20">
        <v>41609</v>
      </c>
      <c r="B50" s="21">
        <v>414812</v>
      </c>
      <c r="C50" s="22" cm="1">
        <f t="array" ref="C50">IF(ROW()&lt;14,"",IFERROR(B50/INDEX($B:$B,ROW()-12)-1,""))</f>
        <v>3.4204037467619797E-2</v>
      </c>
      <c r="D50" s="22" cm="1">
        <f t="array" ref="D50">IF(ROW()&lt;3,"NA",IFERROR(B50/INDEX($B:$B,ROW()-1)-1,"NA"))</f>
        <v>5.4561628462215239E-3</v>
      </c>
      <c r="E50" s="22" cm="1">
        <f t="array" ref="E50">IF(ROW()&lt;5,"NA",IFERROR(B50/INDEX($B:$B,ROW()-3)-1,"NA"))</f>
        <v>1.1628020407566053E-2</v>
      </c>
      <c r="F50" s="23">
        <f t="shared" si="0"/>
        <v>-0.8012175225093614</v>
      </c>
    </row>
    <row r="51" spans="1:6">
      <c r="A51" s="20">
        <v>41640</v>
      </c>
      <c r="B51" s="21">
        <v>411561</v>
      </c>
      <c r="C51" s="22" cm="1">
        <f t="array" ref="C51">IF(ROW()&lt;14,"",IFERROR(B51/INDEX($B:$B,ROW()-12)-1,""))</f>
        <v>1.7622158374419605E-2</v>
      </c>
      <c r="D51" s="22" cm="1">
        <f t="array" ref="D51">IF(ROW()&lt;3,"NA",IFERROR(B51/INDEX($B:$B,ROW()-1)-1,"NA"))</f>
        <v>-7.8372853244361718E-3</v>
      </c>
      <c r="E51" s="22" cm="1">
        <f t="array" ref="E51">IF(ROW()&lt;5,"NA",IFERROR(B51/INDEX($B:$B,ROW()-3)-1,"NA"))</f>
        <v>3.9377830281561721E-4</v>
      </c>
      <c r="F51" s="23">
        <f t="shared" si="0"/>
        <v>-0.82838590611643081</v>
      </c>
    </row>
    <row r="52" spans="1:6">
      <c r="A52" s="20">
        <v>41671</v>
      </c>
      <c r="B52" s="21">
        <v>416736</v>
      </c>
      <c r="C52" s="22" cm="1">
        <f t="array" ref="C52">IF(ROW()&lt;14,"",IFERROR(B52/INDEX($B:$B,ROW()-12)-1,""))</f>
        <v>1.8620544683929818E-2</v>
      </c>
      <c r="D52" s="22" cm="1">
        <f t="array" ref="D52">IF(ROW()&lt;3,"NA",IFERROR(B52/INDEX($B:$B,ROW()-1)-1,"NA"))</f>
        <v>1.25740777187342E-2</v>
      </c>
      <c r="E52" s="22" cm="1">
        <f t="array" ref="E52">IF(ROW()&lt;5,"NA",IFERROR(B52/INDEX($B:$B,ROW()-3)-1,"NA"))</f>
        <v>1.0119715629931081E-2</v>
      </c>
      <c r="F52" s="23">
        <f t="shared" si="0"/>
        <v>-0.78513878671729687</v>
      </c>
    </row>
    <row r="53" spans="1:6">
      <c r="A53" s="20">
        <v>41699</v>
      </c>
      <c r="B53" s="21">
        <v>421230</v>
      </c>
      <c r="C53" s="22" cm="1">
        <f t="array" ref="C53">IF(ROW()&lt;14,"",IFERROR(B53/INDEX($B:$B,ROW()-12)-1,""))</f>
        <v>3.6942762965169296E-2</v>
      </c>
      <c r="D53" s="22" cm="1">
        <f t="array" ref="D53">IF(ROW()&lt;3,"NA",IFERROR(B53/INDEX($B:$B,ROW()-1)-1,"NA"))</f>
        <v>1.0783805574752447E-2</v>
      </c>
      <c r="E53" s="22" cm="1">
        <f t="array" ref="E53">IF(ROW()&lt;5,"NA",IFERROR(B53/INDEX($B:$B,ROW()-3)-1,"NA"))</f>
        <v>1.5472069274755862E-2</v>
      </c>
      <c r="F53" s="23">
        <f t="shared" si="0"/>
        <v>-0.74758273752315052</v>
      </c>
    </row>
    <row r="54" spans="1:6">
      <c r="A54" s="20">
        <v>41730</v>
      </c>
      <c r="B54" s="21">
        <v>425546</v>
      </c>
      <c r="C54" s="22" cm="1">
        <f t="array" ref="C54">IF(ROW()&lt;14,"",IFERROR(B54/INDEX($B:$B,ROW()-12)-1,""))</f>
        <v>5.2729751058182117E-2</v>
      </c>
      <c r="D54" s="22" cm="1">
        <f t="array" ref="D54">IF(ROW()&lt;3,"NA",IFERROR(B54/INDEX($B:$B,ROW()-1)-1,"NA"))</f>
        <v>1.0246183795076247E-2</v>
      </c>
      <c r="E54" s="22" cm="1">
        <f t="array" ref="E54">IF(ROW()&lt;5,"NA",IFERROR(B54/INDEX($B:$B,ROW()-3)-1,"NA"))</f>
        <v>3.3980382008985233E-2</v>
      </c>
      <c r="F54" s="23">
        <f t="shared" si="0"/>
        <v>-0.71151422209770865</v>
      </c>
    </row>
    <row r="55" spans="1:6">
      <c r="A55" s="20">
        <v>41760</v>
      </c>
      <c r="B55" s="21">
        <v>426253</v>
      </c>
      <c r="C55" s="22" cm="1">
        <f t="array" ref="C55">IF(ROW()&lt;14,"",IFERROR(B55/INDEX($B:$B,ROW()-12)-1,""))</f>
        <v>4.8136481777921958E-2</v>
      </c>
      <c r="D55" s="22" cm="1">
        <f t="array" ref="D55">IF(ROW()&lt;3,"NA",IFERROR(B55/INDEX($B:$B,ROW()-1)-1,"NA"))</f>
        <v>1.6613950078252504E-3</v>
      </c>
      <c r="E55" s="22" cm="1">
        <f t="array" ref="E55">IF(ROW()&lt;5,"NA",IFERROR(B55/INDEX($B:$B,ROW()-3)-1,"NA"))</f>
        <v>2.2836999923212753E-2</v>
      </c>
      <c r="F55" s="23">
        <f t="shared" si="0"/>
        <v>-0.70560587167931488</v>
      </c>
    </row>
    <row r="56" spans="1:6">
      <c r="A56" s="20">
        <v>41791</v>
      </c>
      <c r="B56" s="21">
        <v>427305</v>
      </c>
      <c r="C56" s="22" cm="1">
        <f t="array" ref="C56">IF(ROW()&lt;14,"",IFERROR(B56/INDEX($B:$B,ROW()-12)-1,""))</f>
        <v>4.7519004905361539E-2</v>
      </c>
      <c r="D56" s="22" cm="1">
        <f t="array" ref="D56">IF(ROW()&lt;3,"NA",IFERROR(B56/INDEX($B:$B,ROW()-1)-1,"NA"))</f>
        <v>2.4680178204024017E-3</v>
      </c>
      <c r="E56" s="22" cm="1">
        <f t="array" ref="E56">IF(ROW()&lt;5,"NA",IFERROR(B56/INDEX($B:$B,ROW()-3)-1,"NA"))</f>
        <v>1.4422049711559026E-2</v>
      </c>
      <c r="F56" s="23">
        <f t="shared" si="0"/>
        <v>-0.6968143799676455</v>
      </c>
    </row>
    <row r="57" spans="1:6">
      <c r="A57" s="20">
        <v>41821</v>
      </c>
      <c r="B57" s="21">
        <v>428079</v>
      </c>
      <c r="C57" s="22" cm="1">
        <f t="array" ref="C57">IF(ROW()&lt;14,"",IFERROR(B57/INDEX($B:$B,ROW()-12)-1,""))</f>
        <v>4.3413086080318131E-2</v>
      </c>
      <c r="D57" s="22" cm="1">
        <f t="array" ref="D57">IF(ROW()&lt;3,"NA",IFERROR(B57/INDEX($B:$B,ROW()-1)-1,"NA"))</f>
        <v>1.8113525467757796E-3</v>
      </c>
      <c r="E57" s="22" cm="1">
        <f t="array" ref="E57">IF(ROW()&lt;5,"NA",IFERROR(B57/INDEX($B:$B,ROW()-3)-1,"NA"))</f>
        <v>5.9523529771163819E-3</v>
      </c>
      <c r="F57" s="23">
        <f t="shared" si="0"/>
        <v>-0.69034611515316635</v>
      </c>
    </row>
    <row r="58" spans="1:6">
      <c r="A58" s="20">
        <v>41852</v>
      </c>
      <c r="B58" s="21">
        <v>431379</v>
      </c>
      <c r="C58" s="22" cm="1">
        <f t="array" ref="C58">IF(ROW()&lt;14,"",IFERROR(B58/INDEX($B:$B,ROW()-12)-1,""))</f>
        <v>5.2937457742542549E-2</v>
      </c>
      <c r="D58" s="22" cm="1">
        <f t="array" ref="D58">IF(ROW()&lt;3,"NA",IFERROR(B58/INDEX($B:$B,ROW()-1)-1,"NA"))</f>
        <v>7.7088574772412599E-3</v>
      </c>
      <c r="E58" s="22" cm="1">
        <f t="array" ref="E58">IF(ROW()&lt;5,"NA",IFERROR(B58/INDEX($B:$B,ROW()-3)-1,"NA"))</f>
        <v>1.2025721813101686E-2</v>
      </c>
      <c r="F58" s="23">
        <f t="shared" si="0"/>
        <v>-0.66276824191313899</v>
      </c>
    </row>
    <row r="59" spans="1:6">
      <c r="A59" s="20">
        <v>41883</v>
      </c>
      <c r="B59" s="21">
        <v>430189</v>
      </c>
      <c r="C59" s="22" cm="1">
        <f t="array" ref="C59">IF(ROW()&lt;14,"",IFERROR(B59/INDEX($B:$B,ROW()-12)-1,""))</f>
        <v>4.9128873974500387E-2</v>
      </c>
      <c r="D59" s="22" cm="1">
        <f t="array" ref="D59">IF(ROW()&lt;3,"NA",IFERROR(B59/INDEX($B:$B,ROW()-1)-1,"NA"))</f>
        <v>-2.7585951101003481E-3</v>
      </c>
      <c r="E59" s="22" cm="1">
        <f t="array" ref="E59">IF(ROW()&lt;5,"NA",IFERROR(B59/INDEX($B:$B,ROW()-3)-1,"NA"))</f>
        <v>6.7492774481927587E-3</v>
      </c>
      <c r="F59" s="23">
        <f t="shared" si="0"/>
        <v>-0.67271299014211849</v>
      </c>
    </row>
    <row r="60" spans="1:6">
      <c r="A60" s="20">
        <v>41913</v>
      </c>
      <c r="B60" s="21">
        <v>431903</v>
      </c>
      <c r="C60" s="22" cm="1">
        <f t="array" ref="C60">IF(ROW()&lt;14,"",IFERROR(B60/INDEX($B:$B,ROW()-12)-1,""))</f>
        <v>4.9839693339069902E-2</v>
      </c>
      <c r="D60" s="22" cm="1">
        <f t="array" ref="D60">IF(ROW()&lt;3,"NA",IFERROR(B60/INDEX($B:$B,ROW()-1)-1,"NA"))</f>
        <v>3.9842952748676552E-3</v>
      </c>
      <c r="E60" s="22" cm="1">
        <f t="array" ref="E60">IF(ROW()&lt;5,"NA",IFERROR(B60/INDEX($B:$B,ROW()-3)-1,"NA"))</f>
        <v>8.9329306039305223E-3</v>
      </c>
      <c r="F60" s="23">
        <f t="shared" si="0"/>
        <v>-0.65838920991987404</v>
      </c>
    </row>
    <row r="61" spans="1:6">
      <c r="A61" s="20">
        <v>41944</v>
      </c>
      <c r="B61" s="21">
        <v>433113</v>
      </c>
      <c r="C61" s="22" cm="1">
        <f t="array" ref="C61">IF(ROW()&lt;14,"",IFERROR(B61/INDEX($B:$B,ROW()-12)-1,""))</f>
        <v>4.9815663623076434E-2</v>
      </c>
      <c r="D61" s="22" cm="1">
        <f t="array" ref="D61">IF(ROW()&lt;3,"NA",IFERROR(B61/INDEX($B:$B,ROW()-1)-1,"NA"))</f>
        <v>2.8015549787798744E-3</v>
      </c>
      <c r="E61" s="22" cm="1">
        <f t="array" ref="E61">IF(ROW()&lt;5,"NA",IFERROR(B61/INDEX($B:$B,ROW()-3)-1,"NA"))</f>
        <v>4.0196671604320056E-3</v>
      </c>
      <c r="F61" s="23">
        <f t="shared" si="0"/>
        <v>-0.64827732306519725</v>
      </c>
    </row>
    <row r="62" spans="1:6">
      <c r="A62" s="20">
        <v>41974</v>
      </c>
      <c r="B62" s="21">
        <v>430110</v>
      </c>
      <c r="C62" s="22" cm="1">
        <f t="array" ref="C62">IF(ROW()&lt;14,"",IFERROR(B62/INDEX($B:$B,ROW()-12)-1,""))</f>
        <v>3.6879357395639412E-2</v>
      </c>
      <c r="D62" s="22" cm="1">
        <f t="array" ref="D62">IF(ROW()&lt;3,"NA",IFERROR(B62/INDEX($B:$B,ROW()-1)-1,"NA"))</f>
        <v>-6.9335254310075589E-3</v>
      </c>
      <c r="E62" s="22" cm="1">
        <f t="array" ref="E62">IF(ROW()&lt;5,"NA",IFERROR(B62/INDEX($B:$B,ROW()-3)-1,"NA"))</f>
        <v>-1.8364021395245178E-4</v>
      </c>
      <c r="F62" s="23">
        <f t="shared" si="0"/>
        <v>-0.6733731877136222</v>
      </c>
    </row>
    <row r="63" spans="1:6">
      <c r="A63" s="20">
        <v>42005</v>
      </c>
      <c r="B63" s="21">
        <v>428208</v>
      </c>
      <c r="C63" s="22" cm="1">
        <f t="array" ref="C63">IF(ROW()&lt;14,"",IFERROR(B63/INDEX($B:$B,ROW()-12)-1,""))</f>
        <v>4.0448438992032765E-2</v>
      </c>
      <c r="D63" s="22" cm="1">
        <f t="array" ref="D63">IF(ROW()&lt;3,"NA",IFERROR(B63/INDEX($B:$B,ROW()-1)-1,"NA"))</f>
        <v>-4.4221245727836811E-3</v>
      </c>
      <c r="E63" s="22" cm="1">
        <f t="array" ref="E63">IF(ROW()&lt;5,"NA",IFERROR(B63/INDEX($B:$B,ROW()-3)-1,"NA"))</f>
        <v>-8.5551616913982498E-3</v>
      </c>
      <c r="F63" s="23">
        <f t="shared" si="0"/>
        <v>-0.68926807101741983</v>
      </c>
    </row>
    <row r="64" spans="1:6">
      <c r="A64" s="20">
        <v>42036</v>
      </c>
      <c r="B64" s="21">
        <v>427119</v>
      </c>
      <c r="C64" s="22" cm="1">
        <f t="array" ref="C64">IF(ROW()&lt;14,"",IFERROR(B64/INDEX($B:$B,ROW()-12)-1,""))</f>
        <v>2.4915054134991843E-2</v>
      </c>
      <c r="D64" s="22" cm="1">
        <f t="array" ref="D64">IF(ROW()&lt;3,"NA",IFERROR(B64/INDEX($B:$B,ROW()-1)-1,"NA"))</f>
        <v>-2.5431565967940495E-3</v>
      </c>
      <c r="E64" s="22" cm="1">
        <f t="array" ref="E64">IF(ROW()&lt;5,"NA",IFERROR(B64/INDEX($B:$B,ROW()-3)-1,"NA"))</f>
        <v>-1.3839344466686554E-2</v>
      </c>
      <c r="F64" s="23">
        <f t="shared" si="0"/>
        <v>-0.69836876918662893</v>
      </c>
    </row>
    <row r="65" spans="1:6">
      <c r="A65" s="20">
        <v>42064</v>
      </c>
      <c r="B65" s="21">
        <v>433647</v>
      </c>
      <c r="C65" s="22" cm="1">
        <f t="array" ref="C65">IF(ROW()&lt;14,"",IFERROR(B65/INDEX($B:$B,ROW()-12)-1,""))</f>
        <v>2.9477957410440903E-2</v>
      </c>
      <c r="D65" s="22" cm="1">
        <f t="array" ref="D65">IF(ROW()&lt;3,"NA",IFERROR(B65/INDEX($B:$B,ROW()-1)-1,"NA"))</f>
        <v>1.5283796787312287E-2</v>
      </c>
      <c r="E65" s="22" cm="1">
        <f t="array" ref="E65">IF(ROW()&lt;5,"NA",IFERROR(B65/INDEX($B:$B,ROW()-3)-1,"NA"))</f>
        <v>8.2234777150032023E-3</v>
      </c>
      <c r="F65" s="23">
        <f t="shared" si="0"/>
        <v>-0.64381472175908372</v>
      </c>
    </row>
    <row r="66" spans="1:6">
      <c r="A66" s="20">
        <v>42095</v>
      </c>
      <c r="B66" s="21">
        <v>434470</v>
      </c>
      <c r="C66" s="22" cm="1">
        <f t="array" ref="C66">IF(ROW()&lt;14,"",IFERROR(B66/INDEX($B:$B,ROW()-12)-1,""))</f>
        <v>2.0970705869635786E-2</v>
      </c>
      <c r="D66" s="22" cm="1">
        <f t="array" ref="D66">IF(ROW()&lt;3,"NA",IFERROR(B66/INDEX($B:$B,ROW()-1)-1,"NA"))</f>
        <v>1.8978570127314853E-3</v>
      </c>
      <c r="E66" s="22" cm="1">
        <f t="array" ref="E66">IF(ROW()&lt;5,"NA",IFERROR(B66/INDEX($B:$B,ROW()-3)-1,"NA"))</f>
        <v>1.4623734259985754E-2</v>
      </c>
      <c r="F66" s="23">
        <f t="shared" si="0"/>
        <v>-0.63693696731164662</v>
      </c>
    </row>
    <row r="67" spans="1:6">
      <c r="A67" s="20">
        <v>42125</v>
      </c>
      <c r="B67" s="21">
        <v>437865</v>
      </c>
      <c r="C67" s="22" cm="1">
        <f t="array" ref="C67">IF(ROW()&lt;14,"",IFERROR(B67/INDEX($B:$B,ROW()-12)-1,""))</f>
        <v>2.7242037006191211E-2</v>
      </c>
      <c r="D67" s="22" cm="1">
        <f t="array" ref="D67">IF(ROW()&lt;3,"NA",IFERROR(B67/INDEX($B:$B,ROW()-1)-1,"NA"))</f>
        <v>7.8141183510944678E-3</v>
      </c>
      <c r="E67" s="22" cm="1">
        <f t="array" ref="E67">IF(ROW()&lt;5,"NA",IFERROR(B67/INDEX($B:$B,ROW()-3)-1,"NA"))</f>
        <v>2.5159264748231713E-2</v>
      </c>
      <c r="F67" s="23">
        <f t="shared" si="0"/>
        <v>-0.60856518559955786</v>
      </c>
    </row>
    <row r="68" spans="1:6">
      <c r="A68" s="20">
        <v>42156</v>
      </c>
      <c r="B68" s="21">
        <v>437951</v>
      </c>
      <c r="C68" s="22" cm="1">
        <f t="array" ref="C68">IF(ROW()&lt;14,"",IFERROR(B68/INDEX($B:$B,ROW()-12)-1,""))</f>
        <v>2.4914288388855788E-2</v>
      </c>
      <c r="D68" s="22" cm="1">
        <f t="array" ref="D68">IF(ROW()&lt;3,"NA",IFERROR(B68/INDEX($B:$B,ROW()-1)-1,"NA"))</f>
        <v>1.9640756854277797E-4</v>
      </c>
      <c r="E68" s="22" cm="1">
        <f t="array" ref="E68">IF(ROW()&lt;5,"NA",IFERROR(B68/INDEX($B:$B,ROW()-3)-1,"NA"))</f>
        <v>9.9251234298864954E-3</v>
      </c>
      <c r="F68" s="23">
        <f t="shared" ref="F68:F131" si="1">IFERROR((B68-AVERAGE($B:$B))/_xlfn.STDEV.S($B:$B),"")</f>
        <v>-0.60784648950906017</v>
      </c>
    </row>
    <row r="69" spans="1:6">
      <c r="A69" s="20">
        <v>42186</v>
      </c>
      <c r="B69" s="21">
        <v>441942</v>
      </c>
      <c r="C69" s="22" cm="1">
        <f t="array" ref="C69">IF(ROW()&lt;14,"",IFERROR(B69/INDEX($B:$B,ROW()-12)-1,""))</f>
        <v>3.2384209456665758E-2</v>
      </c>
      <c r="D69" s="22" cm="1">
        <f t="array" ref="D69">IF(ROW()&lt;3,"NA",IFERROR(B69/INDEX($B:$B,ROW()-1)-1,"NA"))</f>
        <v>9.1128916248621739E-3</v>
      </c>
      <c r="E69" s="22" cm="1">
        <f t="array" ref="E69">IF(ROW()&lt;5,"NA",IFERROR(B69/INDEX($B:$B,ROW()-3)-1,"NA"))</f>
        <v>1.7197965337077292E-2</v>
      </c>
      <c r="F69" s="23">
        <f t="shared" si="1"/>
        <v>-0.57449397675119673</v>
      </c>
    </row>
    <row r="70" spans="1:6">
      <c r="A70" s="20">
        <v>42217</v>
      </c>
      <c r="B70" s="21">
        <v>441849</v>
      </c>
      <c r="C70" s="22" cm="1">
        <f t="array" ref="C70">IF(ROW()&lt;14,"",IFERROR(B70/INDEX($B:$B,ROW()-12)-1,""))</f>
        <v>2.4271000674580767E-2</v>
      </c>
      <c r="D70" s="22" cm="1">
        <f t="array" ref="D70">IF(ROW()&lt;3,"NA",IFERROR(B70/INDEX($B:$B,ROW()-1)-1,"NA"))</f>
        <v>-2.104348534422984E-4</v>
      </c>
      <c r="E70" s="22" cm="1">
        <f t="array" ref="E70">IF(ROW()&lt;5,"NA",IFERROR(B70/INDEX($B:$B,ROW()-3)-1,"NA"))</f>
        <v>9.0986948031928083E-3</v>
      </c>
      <c r="F70" s="23">
        <f t="shared" si="1"/>
        <v>-0.57527117136068839</v>
      </c>
    </row>
    <row r="71" spans="1:6">
      <c r="A71" s="20">
        <v>42248</v>
      </c>
      <c r="B71" s="21">
        <v>439867</v>
      </c>
      <c r="C71" s="22" cm="1">
        <f t="array" ref="C71">IF(ROW()&lt;14,"",IFERROR(B71/INDEX($B:$B,ROW()-12)-1,""))</f>
        <v>2.2497088489012995E-2</v>
      </c>
      <c r="D71" s="22" cm="1">
        <f t="array" ref="D71">IF(ROW()&lt;3,"NA",IFERROR(B71/INDEX($B:$B,ROW()-1)-1,"NA"))</f>
        <v>-4.4856953393580534E-3</v>
      </c>
      <c r="E71" s="22" cm="1">
        <f t="array" ref="E71">IF(ROW()&lt;5,"NA",IFERROR(B71/INDEX($B:$B,ROW()-3)-1,"NA"))</f>
        <v>4.3749186552832775E-3</v>
      </c>
      <c r="F71" s="23">
        <f t="shared" si="1"/>
        <v>-0.59183460916727459</v>
      </c>
    </row>
    <row r="72" spans="1:6">
      <c r="A72" s="20">
        <v>42278</v>
      </c>
      <c r="B72" s="21">
        <v>438693</v>
      </c>
      <c r="C72" s="22" cm="1">
        <f t="array" ref="C72">IF(ROW()&lt;14,"",IFERROR(B72/INDEX($B:$B,ROW()-12)-1,""))</f>
        <v>1.5721122566872747E-2</v>
      </c>
      <c r="D72" s="22" cm="1">
        <f t="array" ref="D72">IF(ROW()&lt;3,"NA",IFERROR(B72/INDEX($B:$B,ROW()-1)-1,"NA"))</f>
        <v>-2.6689885806391311E-3</v>
      </c>
      <c r="E72" s="22" cm="1">
        <f t="array" ref="E72">IF(ROW()&lt;5,"NA",IFERROR(B72/INDEX($B:$B,ROW()-3)-1,"NA"))</f>
        <v>-7.3516434283231735E-3</v>
      </c>
      <c r="F72" s="23">
        <f t="shared" si="1"/>
        <v>-0.60164564649569641</v>
      </c>
    </row>
    <row r="73" spans="1:6">
      <c r="A73" s="20">
        <v>42309</v>
      </c>
      <c r="B73" s="21">
        <v>440303</v>
      </c>
      <c r="C73" s="22" cm="1">
        <f t="array" ref="C73">IF(ROW()&lt;14,"",IFERROR(B73/INDEX($B:$B,ROW()-12)-1,""))</f>
        <v>1.6600748534447041E-2</v>
      </c>
      <c r="D73" s="22" cm="1">
        <f t="array" ref="D73">IF(ROW()&lt;3,"NA",IFERROR(B73/INDEX($B:$B,ROW()-1)-1,"NA"))</f>
        <v>3.6699924548602159E-3</v>
      </c>
      <c r="E73" s="22" cm="1">
        <f t="array" ref="E73">IF(ROW()&lt;5,"NA",IFERROR(B73/INDEX($B:$B,ROW()-3)-1,"NA"))</f>
        <v>-3.498932893364004E-3</v>
      </c>
      <c r="F73" s="23">
        <f t="shared" si="1"/>
        <v>-0.58819098712707696</v>
      </c>
    </row>
    <row r="74" spans="1:6">
      <c r="A74" s="20">
        <v>42339</v>
      </c>
      <c r="B74" s="21">
        <v>442149</v>
      </c>
      <c r="C74" s="22" cm="1">
        <f t="array" ref="C74">IF(ROW()&lt;14,"",IFERROR(B74/INDEX($B:$B,ROW()-12)-1,""))</f>
        <v>2.7990514054544224E-2</v>
      </c>
      <c r="D74" s="22" cm="1">
        <f t="array" ref="D74">IF(ROW()&lt;3,"NA",IFERROR(B74/INDEX($B:$B,ROW()-1)-1,"NA"))</f>
        <v>4.1925673910920835E-3</v>
      </c>
      <c r="E74" s="22" cm="1">
        <f t="array" ref="E74">IF(ROW()&lt;5,"NA",IFERROR(B74/INDEX($B:$B,ROW()-3)-1,"NA"))</f>
        <v>5.1879318066596625E-3</v>
      </c>
      <c r="F74" s="23">
        <f t="shared" si="1"/>
        <v>-0.57276409197523137</v>
      </c>
    </row>
    <row r="75" spans="1:6">
      <c r="A75" s="20">
        <v>42370</v>
      </c>
      <c r="B75" s="21">
        <v>439466</v>
      </c>
      <c r="C75" s="22" cm="1">
        <f t="array" ref="C75">IF(ROW()&lt;14,"",IFERROR(B75/INDEX($B:$B,ROW()-12)-1,""))</f>
        <v>2.6290961401935542E-2</v>
      </c>
      <c r="D75" s="22" cm="1">
        <f t="array" ref="D75">IF(ROW()&lt;3,"NA",IFERROR(B75/INDEX($B:$B,ROW()-1)-1,"NA"))</f>
        <v>-6.0680901686988031E-3</v>
      </c>
      <c r="E75" s="22" cm="1">
        <f t="array" ref="E75">IF(ROW()&lt;5,"NA",IFERROR(B75/INDEX($B:$B,ROW()-3)-1,"NA"))</f>
        <v>1.7620522780168457E-3</v>
      </c>
      <c r="F75" s="23">
        <f t="shared" si="1"/>
        <v>-0.59518573861250212</v>
      </c>
    </row>
    <row r="76" spans="1:6">
      <c r="A76" s="20">
        <v>42401</v>
      </c>
      <c r="B76" s="21">
        <v>443117</v>
      </c>
      <c r="C76" s="22" cm="1">
        <f t="array" ref="C76">IF(ROW()&lt;14,"",IFERROR(B76/INDEX($B:$B,ROW()-12)-1,""))</f>
        <v>3.7455603707631902E-2</v>
      </c>
      <c r="D76" s="22" cm="1">
        <f t="array" ref="D76">IF(ROW()&lt;3,"NA",IFERROR(B76/INDEX($B:$B,ROW()-1)-1,"NA"))</f>
        <v>8.3078099329640942E-3</v>
      </c>
      <c r="E76" s="22" cm="1">
        <f t="array" ref="E76">IF(ROW()&lt;5,"NA",IFERROR(B76/INDEX($B:$B,ROW()-3)-1,"NA"))</f>
        <v>6.3910534336582003E-3</v>
      </c>
      <c r="F76" s="23">
        <f t="shared" si="1"/>
        <v>-0.56467458249148994</v>
      </c>
    </row>
    <row r="77" spans="1:6">
      <c r="A77" s="20">
        <v>42430</v>
      </c>
      <c r="B77" s="21">
        <v>441856</v>
      </c>
      <c r="C77" s="22" cm="1">
        <f t="array" ref="C77">IF(ROW()&lt;14,"",IFERROR(B77/INDEX($B:$B,ROW()-12)-1,""))</f>
        <v>1.8930143642178932E-2</v>
      </c>
      <c r="D77" s="22" cm="1">
        <f t="array" ref="D77">IF(ROW()&lt;3,"NA",IFERROR(B77/INDEX($B:$B,ROW()-1)-1,"NA"))</f>
        <v>-2.8457495424458745E-3</v>
      </c>
      <c r="E77" s="22" cm="1">
        <f t="array" ref="E77">IF(ROW()&lt;5,"NA",IFERROR(B77/INDEX($B:$B,ROW()-3)-1,"NA"))</f>
        <v>-6.626725379905718E-4</v>
      </c>
      <c r="F77" s="23">
        <f t="shared" si="1"/>
        <v>-0.57521267284169442</v>
      </c>
    </row>
    <row r="78" spans="1:6">
      <c r="A78" s="20">
        <v>42461</v>
      </c>
      <c r="B78" s="21">
        <v>444254</v>
      </c>
      <c r="C78" s="22" cm="1">
        <f t="array" ref="C78">IF(ROW()&lt;14,"",IFERROR(B78/INDEX($B:$B,ROW()-12)-1,""))</f>
        <v>2.2519391442447079E-2</v>
      </c>
      <c r="D78" s="22" cm="1">
        <f t="array" ref="D78">IF(ROW()&lt;3,"NA",IFERROR(B78/INDEX($B:$B,ROW()-1)-1,"NA"))</f>
        <v>5.42710747392805E-3</v>
      </c>
      <c r="E78" s="22" cm="1">
        <f t="array" ref="E78">IF(ROW()&lt;5,"NA",IFERROR(B78/INDEX($B:$B,ROW()-3)-1,"NA"))</f>
        <v>1.0895040799515865E-2</v>
      </c>
      <c r="F78" s="23">
        <f t="shared" si="1"/>
        <v>-0.55517275162060786</v>
      </c>
    </row>
    <row r="79" spans="1:6">
      <c r="A79" s="20">
        <v>42491</v>
      </c>
      <c r="B79" s="21">
        <v>445490</v>
      </c>
      <c r="C79" s="22" cm="1">
        <f t="array" ref="C79">IF(ROW()&lt;14,"",IFERROR(B79/INDEX($B:$B,ROW()-12)-1,""))</f>
        <v>1.7414043141150914E-2</v>
      </c>
      <c r="D79" s="22" cm="1">
        <f t="array" ref="D79">IF(ROW()&lt;3,"NA",IFERROR(B79/INDEX($B:$B,ROW()-1)-1,"NA"))</f>
        <v>2.7821921693444995E-3</v>
      </c>
      <c r="E79" s="22" cm="1">
        <f t="array" ref="E79">IF(ROW()&lt;5,"NA",IFERROR(B79/INDEX($B:$B,ROW()-3)-1,"NA"))</f>
        <v>5.3552447773386191E-3</v>
      </c>
      <c r="F79" s="23">
        <f t="shared" si="1"/>
        <v>-0.5448435845525248</v>
      </c>
    </row>
    <row r="80" spans="1:6">
      <c r="A80" s="20">
        <v>42522</v>
      </c>
      <c r="B80" s="21">
        <v>450237</v>
      </c>
      <c r="C80" s="22" cm="1">
        <f t="array" ref="C80">IF(ROW()&lt;14,"",IFERROR(B80/INDEX($B:$B,ROW()-12)-1,""))</f>
        <v>2.8053366700840909E-2</v>
      </c>
      <c r="D80" s="22" cm="1">
        <f t="array" ref="D80">IF(ROW()&lt;3,"NA",IFERROR(B80/INDEX($B:$B,ROW()-1)-1,"NA"))</f>
        <v>1.0655682506902409E-2</v>
      </c>
      <c r="E80" s="22" cm="1">
        <f t="array" ref="E80">IF(ROW()&lt;5,"NA",IFERROR(B80/INDEX($B:$B,ROW()-3)-1,"NA"))</f>
        <v>1.8967717989571309E-2</v>
      </c>
      <c r="F80" s="23">
        <f t="shared" si="1"/>
        <v>-0.50517323174330964</v>
      </c>
    </row>
    <row r="81" spans="1:6">
      <c r="A81" s="20">
        <v>42552</v>
      </c>
      <c r="B81" s="21">
        <v>449789</v>
      </c>
      <c r="C81" s="22" cm="1">
        <f t="array" ref="C81">IF(ROW()&lt;14,"",IFERROR(B81/INDEX($B:$B,ROW()-12)-1,""))</f>
        <v>1.7755723601739604E-2</v>
      </c>
      <c r="D81" s="22" cm="1">
        <f t="array" ref="D81">IF(ROW()&lt;3,"NA",IFERROR(B81/INDEX($B:$B,ROW()-1)-1,"NA"))</f>
        <v>-9.9503150562929576E-4</v>
      </c>
      <c r="E81" s="22" cm="1">
        <f t="array" ref="E81">IF(ROW()&lt;5,"NA",IFERROR(B81/INDEX($B:$B,ROW()-3)-1,"NA"))</f>
        <v>1.2459088719516398E-2</v>
      </c>
      <c r="F81" s="23">
        <f t="shared" si="1"/>
        <v>-0.50891713695892549</v>
      </c>
    </row>
    <row r="82" spans="1:6">
      <c r="A82" s="20">
        <v>42583</v>
      </c>
      <c r="B82" s="21">
        <v>449946</v>
      </c>
      <c r="C82" s="22" cm="1">
        <f t="array" ref="C82">IF(ROW()&lt;14,"",IFERROR(B82/INDEX($B:$B,ROW()-12)-1,""))</f>
        <v>1.8325264966085664E-2</v>
      </c>
      <c r="D82" s="22" cm="1">
        <f t="array" ref="D82">IF(ROW()&lt;3,"NA",IFERROR(B82/INDEX($B:$B,ROW()-1)-1,"NA"))</f>
        <v>3.490525557539037E-4</v>
      </c>
      <c r="E82" s="22" cm="1">
        <f t="array" ref="E82">IF(ROW()&lt;5,"NA",IFERROR(B82/INDEX($B:$B,ROW()-3)-1,"NA"))</f>
        <v>1.0002469191227714E-2</v>
      </c>
      <c r="F82" s="23">
        <f t="shared" si="1"/>
        <v>-0.50760509874720294</v>
      </c>
    </row>
    <row r="83" spans="1:6">
      <c r="A83" s="20">
        <v>42614</v>
      </c>
      <c r="B83" s="21">
        <v>453056</v>
      </c>
      <c r="C83" s="22" cm="1">
        <f t="array" ref="C83">IF(ROW()&lt;14,"",IFERROR(B83/INDEX($B:$B,ROW()-12)-1,""))</f>
        <v>2.9984063364608016E-2</v>
      </c>
      <c r="D83" s="22" cm="1">
        <f t="array" ref="D83">IF(ROW()&lt;3,"NA",IFERROR(B83/INDEX($B:$B,ROW()-1)-1,"NA"))</f>
        <v>6.9119405439763693E-3</v>
      </c>
      <c r="E83" s="22" cm="1">
        <f t="array" ref="E83">IF(ROW()&lt;5,"NA",IFERROR(B83/INDEX($B:$B,ROW()-3)-1,"NA"))</f>
        <v>6.2611469070734671E-3</v>
      </c>
      <c r="F83" s="23">
        <f t="shared" si="1"/>
        <v>-0.48161504245129838</v>
      </c>
    </row>
    <row r="84" spans="1:6">
      <c r="A84" s="20">
        <v>42644</v>
      </c>
      <c r="B84" s="21">
        <v>453847</v>
      </c>
      <c r="C84" s="22" cm="1">
        <f t="array" ref="C84">IF(ROW()&lt;14,"",IFERROR(B84/INDEX($B:$B,ROW()-12)-1,""))</f>
        <v>3.4543519044069493E-2</v>
      </c>
      <c r="D84" s="22" cm="1">
        <f t="array" ref="D84">IF(ROW()&lt;3,"NA",IFERROR(B84/INDEX($B:$B,ROW()-1)-1,"NA"))</f>
        <v>1.745921034044251E-3</v>
      </c>
      <c r="E84" s="22" cm="1">
        <f t="array" ref="E84">IF(ROW()&lt;5,"NA",IFERROR(B84/INDEX($B:$B,ROW()-3)-1,"NA"))</f>
        <v>9.022008097129941E-3</v>
      </c>
      <c r="F84" s="23">
        <f t="shared" si="1"/>
        <v>-0.47500470980497667</v>
      </c>
    </row>
    <row r="85" spans="1:6">
      <c r="A85" s="20">
        <v>42675</v>
      </c>
      <c r="B85" s="21">
        <v>453892</v>
      </c>
      <c r="C85" s="22" cm="1">
        <f t="array" ref="C85">IF(ROW()&lt;14,"",IFERROR(B85/INDEX($B:$B,ROW()-12)-1,""))</f>
        <v>3.0862837636809193E-2</v>
      </c>
      <c r="D85" s="22" cm="1">
        <f t="array" ref="D85">IF(ROW()&lt;3,"NA",IFERROR(B85/INDEX($B:$B,ROW()-1)-1,"NA"))</f>
        <v>9.9152357512455325E-5</v>
      </c>
      <c r="E85" s="22" cm="1">
        <f t="array" ref="E85">IF(ROW()&lt;5,"NA",IFERROR(B85/INDEX($B:$B,ROW()-3)-1,"NA"))</f>
        <v>8.7699412818427191E-3</v>
      </c>
      <c r="F85" s="23">
        <f t="shared" si="1"/>
        <v>-0.47462864789715808</v>
      </c>
    </row>
    <row r="86" spans="1:6">
      <c r="A86" s="20">
        <v>42705</v>
      </c>
      <c r="B86" s="21">
        <v>459305</v>
      </c>
      <c r="C86" s="22" cm="1">
        <f t="array" ref="C86">IF(ROW()&lt;14,"",IFERROR(B86/INDEX($B:$B,ROW()-12)-1,""))</f>
        <v>3.8801399528213265E-2</v>
      </c>
      <c r="D86" s="22" cm="1">
        <f t="array" ref="D86">IF(ROW()&lt;3,"NA",IFERROR(B86/INDEX($B:$B,ROW()-1)-1,"NA"))</f>
        <v>1.1925744450221654E-2</v>
      </c>
      <c r="E86" s="22" cm="1">
        <f t="array" ref="E86">IF(ROW()&lt;5,"NA",IFERROR(B86/INDEX($B:$B,ROW()-3)-1,"NA"))</f>
        <v>1.3792996892216358E-2</v>
      </c>
      <c r="F86" s="23">
        <f t="shared" si="1"/>
        <v>-0.42939257885222831</v>
      </c>
    </row>
    <row r="87" spans="1:6">
      <c r="A87" s="20">
        <v>42736</v>
      </c>
      <c r="B87" s="21">
        <v>464412</v>
      </c>
      <c r="C87" s="22" cm="1">
        <f t="array" ref="C87">IF(ROW()&lt;14,"",IFERROR(B87/INDEX($B:$B,ROW()-12)-1,""))</f>
        <v>5.6764345819699358E-2</v>
      </c>
      <c r="D87" s="22" cm="1">
        <f t="array" ref="D87">IF(ROW()&lt;3,"NA",IFERROR(B87/INDEX($B:$B,ROW()-1)-1,"NA"))</f>
        <v>1.1118973231295071E-2</v>
      </c>
      <c r="E87" s="22" cm="1">
        <f t="array" ref="E87">IF(ROW()&lt;5,"NA",IFERROR(B87/INDEX($B:$B,ROW()-3)-1,"NA"))</f>
        <v>2.3278770158225104E-2</v>
      </c>
      <c r="F87" s="23">
        <f t="shared" si="1"/>
        <v>-0.38671373078046473</v>
      </c>
    </row>
    <row r="88" spans="1:6">
      <c r="A88" s="20">
        <v>42767</v>
      </c>
      <c r="B88" s="21">
        <v>464284</v>
      </c>
      <c r="C88" s="22" cm="1">
        <f t="array" ref="C88">IF(ROW()&lt;14,"",IFERROR(B88/INDEX($B:$B,ROW()-12)-1,""))</f>
        <v>4.7768422335410232E-2</v>
      </c>
      <c r="D88" s="22" cm="1">
        <f t="array" ref="D88">IF(ROW()&lt;3,"NA",IFERROR(B88/INDEX($B:$B,ROW()-1)-1,"NA"))</f>
        <v>-2.7561733977587988E-4</v>
      </c>
      <c r="E88" s="22" cm="1">
        <f t="array" ref="E88">IF(ROW()&lt;5,"NA",IFERROR(B88/INDEX($B:$B,ROW()-3)-1,"NA"))</f>
        <v>2.2895314303843284E-2</v>
      </c>
      <c r="F88" s="23">
        <f t="shared" si="1"/>
        <v>-0.38778341798492638</v>
      </c>
    </row>
    <row r="89" spans="1:6">
      <c r="A89" s="20">
        <v>42795</v>
      </c>
      <c r="B89" s="21">
        <v>463674</v>
      </c>
      <c r="C89" s="22" cm="1">
        <f t="array" ref="C89">IF(ROW()&lt;14,"",IFERROR(B89/INDEX($B:$B,ROW()-12)-1,""))</f>
        <v>4.9378077925840147E-2</v>
      </c>
      <c r="D89" s="22" cm="1">
        <f t="array" ref="D89">IF(ROW()&lt;3,"NA",IFERROR(B89/INDEX($B:$B,ROW()-1)-1,"NA"))</f>
        <v>-1.3138510049883756E-3</v>
      </c>
      <c r="E89" s="22" cm="1">
        <f t="array" ref="E89">IF(ROW()&lt;5,"NA",IFERROR(B89/INDEX($B:$B,ROW()-3)-1,"NA"))</f>
        <v>9.5121977770762367E-3</v>
      </c>
      <c r="F89" s="23">
        <f t="shared" si="1"/>
        <v>-0.39288114606868901</v>
      </c>
    </row>
    <row r="90" spans="1:6">
      <c r="A90" s="20">
        <v>42826</v>
      </c>
      <c r="B90" s="21">
        <v>465276</v>
      </c>
      <c r="C90" s="22" cm="1">
        <f t="array" ref="C90">IF(ROW()&lt;14,"",IFERROR(B90/INDEX($B:$B,ROW()-12)-1,""))</f>
        <v>4.7319776524240575E-2</v>
      </c>
      <c r="D90" s="22" cm="1">
        <f t="array" ref="D90">IF(ROW()&lt;3,"NA",IFERROR(B90/INDEX($B:$B,ROW()-1)-1,"NA"))</f>
        <v>3.4550136518329833E-3</v>
      </c>
      <c r="E90" s="22" cm="1">
        <f t="array" ref="E90">IF(ROW()&lt;5,"NA",IFERROR(B90/INDEX($B:$B,ROW()-3)-1,"NA"))</f>
        <v>1.8604170434872724E-3</v>
      </c>
      <c r="F90" s="23">
        <f t="shared" si="1"/>
        <v>-0.37949334215034841</v>
      </c>
    </row>
    <row r="91" spans="1:6">
      <c r="A91" s="20">
        <v>42856</v>
      </c>
      <c r="B91" s="21">
        <v>462754</v>
      </c>
      <c r="C91" s="22" cm="1">
        <f t="array" ref="C91">IF(ROW()&lt;14,"",IFERROR(B91/INDEX($B:$B,ROW()-12)-1,""))</f>
        <v>3.8752833958113575E-2</v>
      </c>
      <c r="D91" s="22" cm="1">
        <f t="array" ref="D91">IF(ROW()&lt;3,"NA",IFERROR(B91/INDEX($B:$B,ROW()-1)-1,"NA"))</f>
        <v>-5.4204386213774214E-3</v>
      </c>
      <c r="E91" s="22" cm="1">
        <f t="array" ref="E91">IF(ROW()&lt;5,"NA",IFERROR(B91/INDEX($B:$B,ROW()-3)-1,"NA"))</f>
        <v>-3.2953967830035014E-3</v>
      </c>
      <c r="F91" s="23">
        <f t="shared" si="1"/>
        <v>-0.40056952285075725</v>
      </c>
    </row>
    <row r="92" spans="1:6">
      <c r="A92" s="20">
        <v>42887</v>
      </c>
      <c r="B92" s="21">
        <v>465130</v>
      </c>
      <c r="C92" s="22" cm="1">
        <f t="array" ref="C92">IF(ROW()&lt;14,"",IFERROR(B92/INDEX($B:$B,ROW()-12)-1,""))</f>
        <v>3.3078134404769033E-2</v>
      </c>
      <c r="D92" s="22" cm="1">
        <f t="array" ref="D92">IF(ROW()&lt;3,"NA",IFERROR(B92/INDEX($B:$B,ROW()-1)-1,"NA"))</f>
        <v>5.1344774977633012E-3</v>
      </c>
      <c r="E92" s="22" cm="1">
        <f t="array" ref="E92">IF(ROW()&lt;5,"NA",IFERROR(B92/INDEX($B:$B,ROW()-3)-1,"NA"))</f>
        <v>3.1401372516035586E-3</v>
      </c>
      <c r="F92" s="23">
        <f t="shared" si="1"/>
        <v>-0.3807134541179375</v>
      </c>
    </row>
    <row r="93" spans="1:6">
      <c r="A93" s="20">
        <v>42917</v>
      </c>
      <c r="B93" s="21">
        <v>465089</v>
      </c>
      <c r="C93" s="22" cm="1">
        <f t="array" ref="C93">IF(ROW()&lt;14,"",IFERROR(B93/INDEX($B:$B,ROW()-12)-1,""))</f>
        <v>3.4015949700859638E-2</v>
      </c>
      <c r="D93" s="22" cm="1">
        <f t="array" ref="D93">IF(ROW()&lt;3,"NA",IFERROR(B93/INDEX($B:$B,ROW()-1)-1,"NA"))</f>
        <v>-8.81473996516835E-5</v>
      </c>
      <c r="E93" s="22" cm="1">
        <f t="array" ref="E93">IF(ROW()&lt;5,"NA",IFERROR(B93/INDEX($B:$B,ROW()-3)-1,"NA"))</f>
        <v>-4.0191198342487411E-4</v>
      </c>
      <c r="F93" s="23">
        <f t="shared" si="1"/>
        <v>-0.38105608830061666</v>
      </c>
    </row>
    <row r="94" spans="1:6">
      <c r="A94" s="20">
        <v>42948</v>
      </c>
      <c r="B94" s="21">
        <v>466020</v>
      </c>
      <c r="C94" s="22" cm="1">
        <f t="array" ref="C94">IF(ROW()&lt;14,"",IFERROR(B94/INDEX($B:$B,ROW()-12)-1,""))</f>
        <v>3.5724286914429637E-2</v>
      </c>
      <c r="D94" s="22" cm="1">
        <f t="array" ref="D94">IF(ROW()&lt;3,"NA",IFERROR(B94/INDEX($B:$B,ROW()-1)-1,"NA"))</f>
        <v>2.0017674036583166E-3</v>
      </c>
      <c r="E94" s="22" cm="1">
        <f t="array" ref="E94">IF(ROW()&lt;5,"NA",IFERROR(B94/INDEX($B:$B,ROW()-3)-1,"NA"))</f>
        <v>7.0577455840468151E-3</v>
      </c>
      <c r="F94" s="23">
        <f t="shared" si="1"/>
        <v>-0.37327578527441496</v>
      </c>
    </row>
    <row r="95" spans="1:6">
      <c r="A95" s="20">
        <v>42979</v>
      </c>
      <c r="B95" s="21">
        <v>475724</v>
      </c>
      <c r="C95" s="22" cm="1">
        <f t="array" ref="C95">IF(ROW()&lt;14,"",IFERROR(B95/INDEX($B:$B,ROW()-12)-1,""))</f>
        <v>5.003354993643172E-2</v>
      </c>
      <c r="D95" s="22" cm="1">
        <f t="array" ref="D95">IF(ROW()&lt;3,"NA",IFERROR(B95/INDEX($B:$B,ROW()-1)-1,"NA"))</f>
        <v>2.0823140637740822E-2</v>
      </c>
      <c r="E95" s="22" cm="1">
        <f t="array" ref="E95">IF(ROW()&lt;5,"NA",IFERROR(B95/INDEX($B:$B,ROW()-3)-1,"NA"))</f>
        <v>2.2776428095371282E-2</v>
      </c>
      <c r="F95" s="23">
        <f t="shared" si="1"/>
        <v>-0.29218012408616473</v>
      </c>
    </row>
    <row r="96" spans="1:6">
      <c r="A96" s="20">
        <v>43009</v>
      </c>
      <c r="B96" s="21">
        <v>476107</v>
      </c>
      <c r="C96" s="22" cm="1">
        <f t="array" ref="C96">IF(ROW()&lt;14,"",IFERROR(B96/INDEX($B:$B,ROW()-12)-1,""))</f>
        <v>4.9047366182876528E-2</v>
      </c>
      <c r="D96" s="22" cm="1">
        <f t="array" ref="D96">IF(ROW()&lt;3,"NA",IFERROR(B96/INDEX($B:$B,ROW()-1)-1,"NA"))</f>
        <v>8.0508866485606845E-4</v>
      </c>
      <c r="E96" s="22" cm="1">
        <f t="array" ref="E96">IF(ROW()&lt;5,"NA",IFERROR(B96/INDEX($B:$B,ROW()-3)-1,"NA"))</f>
        <v>2.369008942374462E-2</v>
      </c>
      <c r="F96" s="23">
        <f t="shared" si="1"/>
        <v>-0.28897941940406457</v>
      </c>
    </row>
    <row r="97" spans="1:6">
      <c r="A97" s="20">
        <v>43040</v>
      </c>
      <c r="B97" s="21">
        <v>480949</v>
      </c>
      <c r="C97" s="22" cm="1">
        <f t="array" ref="C97">IF(ROW()&lt;14,"",IFERROR(B97/INDEX($B:$B,ROW()-12)-1,""))</f>
        <v>5.961109691292199E-2</v>
      </c>
      <c r="D97" s="22" cm="1">
        <f t="array" ref="D97">IF(ROW()&lt;3,"NA",IFERROR(B97/INDEX($B:$B,ROW()-1)-1,"NA"))</f>
        <v>1.0169982797984423E-2</v>
      </c>
      <c r="E97" s="22" cm="1">
        <f t="array" ref="E97">IF(ROW()&lt;5,"NA",IFERROR(B97/INDEX($B:$B,ROW()-3)-1,"NA"))</f>
        <v>3.2035105789451013E-2</v>
      </c>
      <c r="F97" s="23">
        <f t="shared" si="1"/>
        <v>-0.24851515812278802</v>
      </c>
    </row>
    <row r="98" spans="1:6">
      <c r="A98" s="20">
        <v>43070</v>
      </c>
      <c r="B98" s="21">
        <v>483586</v>
      </c>
      <c r="C98" s="22" cm="1">
        <f t="array" ref="C98">IF(ROW()&lt;14,"",IFERROR(B98/INDEX($B:$B,ROW()-12)-1,""))</f>
        <v>5.2864654205810879E-2</v>
      </c>
      <c r="D98" s="22" cm="1">
        <f t="array" ref="D98">IF(ROW()&lt;3,"NA",IFERROR(B98/INDEX($B:$B,ROW()-1)-1,"NA"))</f>
        <v>5.482909830356153E-3</v>
      </c>
      <c r="E98" s="22" cm="1">
        <f t="array" ref="E98">IF(ROW()&lt;5,"NA",IFERROR(B98/INDEX($B:$B,ROW()-3)-1,"NA"))</f>
        <v>1.6526389250910212E-2</v>
      </c>
      <c r="F98" s="23">
        <f t="shared" si="1"/>
        <v>-0.22647793032462066</v>
      </c>
    </row>
    <row r="99" spans="1:6">
      <c r="A99" s="20">
        <v>43101</v>
      </c>
      <c r="B99" s="21">
        <v>481414</v>
      </c>
      <c r="C99" s="22" cm="1">
        <f t="array" ref="C99">IF(ROW()&lt;14,"",IFERROR(B99/INDEX($B:$B,ROW()-12)-1,""))</f>
        <v>3.6609734459919219E-2</v>
      </c>
      <c r="D99" s="22" cm="1">
        <f t="array" ref="D99">IF(ROW()&lt;3,"NA",IFERROR(B99/INDEX($B:$B,ROW()-1)-1,"NA"))</f>
        <v>-4.4914451617705797E-3</v>
      </c>
      <c r="E99" s="22" cm="1">
        <f t="array" ref="E99">IF(ROW()&lt;5,"NA",IFERROR(B99/INDEX($B:$B,ROW()-3)-1,"NA"))</f>
        <v>1.1146654008447721E-2</v>
      </c>
      <c r="F99" s="23">
        <f t="shared" si="1"/>
        <v>-0.2446291850753296</v>
      </c>
    </row>
    <row r="100" spans="1:6">
      <c r="A100" s="20">
        <v>43132</v>
      </c>
      <c r="B100" s="21">
        <v>484031</v>
      </c>
      <c r="C100" s="22" cm="1">
        <f t="array" ref="C100">IF(ROW()&lt;14,"",IFERROR(B100/INDEX($B:$B,ROW()-12)-1,""))</f>
        <v>4.2532157041810681E-2</v>
      </c>
      <c r="D100" s="22" cm="1">
        <f t="array" ref="D100">IF(ROW()&lt;3,"NA",IFERROR(B100/INDEX($B:$B,ROW()-1)-1,"NA"))</f>
        <v>5.4360695783670643E-3</v>
      </c>
      <c r="E100" s="22" cm="1">
        <f t="array" ref="E100">IF(ROW()&lt;5,"NA",IFERROR(B100/INDEX($B:$B,ROW()-3)-1,"NA"))</f>
        <v>6.4081638593695978E-3</v>
      </c>
      <c r="F100" s="23">
        <f t="shared" si="1"/>
        <v>-0.22275909590285939</v>
      </c>
    </row>
    <row r="101" spans="1:6">
      <c r="A101" s="20">
        <v>43160</v>
      </c>
      <c r="B101" s="21">
        <v>484110</v>
      </c>
      <c r="C101" s="22" cm="1">
        <f t="array" ref="C101">IF(ROW()&lt;14,"",IFERROR(B101/INDEX($B:$B,ROW()-12)-1,""))</f>
        <v>4.4074069281434758E-2</v>
      </c>
      <c r="D101" s="22" cm="1">
        <f t="array" ref="D101">IF(ROW()&lt;3,"NA",IFERROR(B101/INDEX($B:$B,ROW()-1)-1,"NA"))</f>
        <v>1.6321268679075907E-4</v>
      </c>
      <c r="E101" s="22" cm="1">
        <f t="array" ref="E101">IF(ROW()&lt;5,"NA",IFERROR(B101/INDEX($B:$B,ROW()-3)-1,"NA"))</f>
        <v>1.0835714846997302E-3</v>
      </c>
      <c r="F101" s="23">
        <f t="shared" si="1"/>
        <v>-0.22209889833135571</v>
      </c>
    </row>
    <row r="102" spans="1:6">
      <c r="A102" s="20">
        <v>43191</v>
      </c>
      <c r="B102" s="21">
        <v>484154</v>
      </c>
      <c r="C102" s="22" cm="1">
        <f t="array" ref="C102">IF(ROW()&lt;14,"",IFERROR(B102/INDEX($B:$B,ROW()-12)-1,""))</f>
        <v>4.0573766968422964E-2</v>
      </c>
      <c r="D102" s="22" cm="1">
        <f t="array" ref="D102">IF(ROW()&lt;3,"NA",IFERROR(B102/INDEX($B:$B,ROW()-1)-1,"NA"))</f>
        <v>9.0888434446823041E-5</v>
      </c>
      <c r="E102" s="22" cm="1">
        <f t="array" ref="E102">IF(ROW()&lt;5,"NA",IFERROR(B102/INDEX($B:$B,ROW()-3)-1,"NA"))</f>
        <v>5.6915669257644463E-3</v>
      </c>
      <c r="F102" s="23">
        <f t="shared" si="1"/>
        <v>-0.221731193354822</v>
      </c>
    </row>
    <row r="103" spans="1:6">
      <c r="A103" s="20">
        <v>43221</v>
      </c>
      <c r="B103" s="21">
        <v>491960</v>
      </c>
      <c r="C103" s="22" cm="1">
        <f t="array" ref="C103">IF(ROW()&lt;14,"",IFERROR(B103/INDEX($B:$B,ROW()-12)-1,""))</f>
        <v>6.3113446885386226E-2</v>
      </c>
      <c r="D103" s="22" cm="1">
        <f t="array" ref="D103">IF(ROW()&lt;3,"NA",IFERROR(B103/INDEX($B:$B,ROW()-1)-1,"NA"))</f>
        <v>1.6122969137918997E-2</v>
      </c>
      <c r="E103" s="22" cm="1">
        <f t="array" ref="E103">IF(ROW()&lt;5,"NA",IFERROR(B103/INDEX($B:$B,ROW()-3)-1,"NA"))</f>
        <v>1.6381182197008126E-2</v>
      </c>
      <c r="F103" s="23">
        <f t="shared" si="1"/>
        <v>-0.15649698774522991</v>
      </c>
    </row>
    <row r="104" spans="1:6">
      <c r="A104" s="20">
        <v>43252</v>
      </c>
      <c r="B104" s="21">
        <v>490228</v>
      </c>
      <c r="C104" s="22" cm="1">
        <f t="array" ref="C104">IF(ROW()&lt;14,"",IFERROR(B104/INDEX($B:$B,ROW()-12)-1,""))</f>
        <v>5.3959108206308004E-2</v>
      </c>
      <c r="D104" s="22" cm="1">
        <f t="array" ref="D104">IF(ROW()&lt;3,"NA",IFERROR(B104/INDEX($B:$B,ROW()-1)-1,"NA"))</f>
        <v>-3.5206114318236947E-3</v>
      </c>
      <c r="E104" s="22" cm="1">
        <f t="array" ref="E104">IF(ROW()&lt;5,"NA",IFERROR(B104/INDEX($B:$B,ROW()-3)-1,"NA"))</f>
        <v>1.2637623680568533E-2</v>
      </c>
      <c r="F104" s="23">
        <f t="shared" si="1"/>
        <v>-0.17097119273060188</v>
      </c>
    </row>
    <row r="105" spans="1:6">
      <c r="A105" s="20">
        <v>43282</v>
      </c>
      <c r="B105" s="21">
        <v>493142</v>
      </c>
      <c r="C105" s="22" cm="1">
        <f t="array" ref="C105">IF(ROW()&lt;14,"",IFERROR(B105/INDEX($B:$B,ROW()-12)-1,""))</f>
        <v>6.0317487620648924E-2</v>
      </c>
      <c r="D105" s="22" cm="1">
        <f t="array" ref="D105">IF(ROW()&lt;3,"NA",IFERROR(B105/INDEX($B:$B,ROW()-1)-1,"NA"))</f>
        <v>5.9441729154596779E-3</v>
      </c>
      <c r="E105" s="22" cm="1">
        <f t="array" ref="E105">IF(ROW()&lt;5,"NA",IFERROR(B105/INDEX($B:$B,ROW()-3)-1,"NA"))</f>
        <v>1.8564341098080472E-2</v>
      </c>
      <c r="F105" s="23">
        <f t="shared" si="1"/>
        <v>-0.1466190949665292</v>
      </c>
    </row>
    <row r="106" spans="1:6">
      <c r="A106" s="20">
        <v>43313</v>
      </c>
      <c r="B106" s="21">
        <v>493445</v>
      </c>
      <c r="C106" s="22" cm="1">
        <f t="array" ref="C106">IF(ROW()&lt;14,"",IFERROR(B106/INDEX($B:$B,ROW()-12)-1,""))</f>
        <v>5.8849405604909588E-2</v>
      </c>
      <c r="D106" s="22" cm="1">
        <f t="array" ref="D106">IF(ROW()&lt;3,"NA",IFERROR(B106/INDEX($B:$B,ROW()-1)-1,"NA"))</f>
        <v>6.144274874173572E-4</v>
      </c>
      <c r="E106" s="22" cm="1">
        <f t="array" ref="E106">IF(ROW()&lt;5,"NA",IFERROR(B106/INDEX($B:$B,ROW()-3)-1,"NA"))</f>
        <v>3.0185380925278338E-3</v>
      </c>
      <c r="F106" s="23">
        <f t="shared" si="1"/>
        <v>-0.14408694478721759</v>
      </c>
    </row>
    <row r="107" spans="1:6">
      <c r="A107" s="20">
        <v>43344</v>
      </c>
      <c r="B107" s="21">
        <v>491507</v>
      </c>
      <c r="C107" s="22" cm="1">
        <f t="array" ref="C107">IF(ROW()&lt;14,"",IFERROR(B107/INDEX($B:$B,ROW()-12)-1,""))</f>
        <v>3.3176799993273498E-2</v>
      </c>
      <c r="D107" s="22" cm="1">
        <f t="array" ref="D107">IF(ROW()&lt;3,"NA",IFERROR(B107/INDEX($B:$B,ROW()-1)-1,"NA"))</f>
        <v>-3.927489385848526E-3</v>
      </c>
      <c r="E107" s="22" cm="1">
        <f t="array" ref="E107">IF(ROW()&lt;5,"NA",IFERROR(B107/INDEX($B:$B,ROW()-3)-1,"NA"))</f>
        <v>2.6089901025645457E-3</v>
      </c>
      <c r="F107" s="23">
        <f t="shared" si="1"/>
        <v>-0.16028267761727005</v>
      </c>
    </row>
    <row r="108" spans="1:6">
      <c r="A108" s="20">
        <v>43374</v>
      </c>
      <c r="B108" s="21">
        <v>496416</v>
      </c>
      <c r="C108" s="22" cm="1">
        <f t="array" ref="C108">IF(ROW()&lt;14,"",IFERROR(B108/INDEX($B:$B,ROW()-12)-1,""))</f>
        <v>4.265637766300423E-2</v>
      </c>
      <c r="D108" s="22" cm="1">
        <f t="array" ref="D108">IF(ROW()&lt;3,"NA",IFERROR(B108/INDEX($B:$B,ROW()-1)-1,"NA"))</f>
        <v>9.987650226751521E-3</v>
      </c>
      <c r="E108" s="22" cm="1">
        <f t="array" ref="E108">IF(ROW()&lt;5,"NA",IFERROR(B108/INDEX($B:$B,ROW()-3)-1,"NA"))</f>
        <v>6.6390613656919228E-3</v>
      </c>
      <c r="F108" s="23">
        <f t="shared" si="1"/>
        <v>-0.11925850193990807</v>
      </c>
    </row>
    <row r="109" spans="1:6">
      <c r="A109" s="20">
        <v>43405</v>
      </c>
      <c r="B109" s="21">
        <v>498854</v>
      </c>
      <c r="C109" s="22" cm="1">
        <f t="array" ref="C109">IF(ROW()&lt;14,"",IFERROR(B109/INDEX($B:$B,ROW()-12)-1,""))</f>
        <v>3.722847952693531E-2</v>
      </c>
      <c r="D109" s="22" cm="1">
        <f t="array" ref="D109">IF(ROW()&lt;3,"NA",IFERROR(B109/INDEX($B:$B,ROW()-1)-1,"NA"))</f>
        <v>4.9112035067362392E-3</v>
      </c>
      <c r="E109" s="22" cm="1">
        <f t="array" ref="E109">IF(ROW()&lt;5,"NA",IFERROR(B109/INDEX($B:$B,ROW()-3)-1,"NA"))</f>
        <v>1.0961707991772096E-2</v>
      </c>
      <c r="F109" s="23">
        <f t="shared" si="1"/>
        <v>-9.8884303467427215E-2</v>
      </c>
    </row>
    <row r="110" spans="1:6">
      <c r="A110" s="20">
        <v>43435</v>
      </c>
      <c r="B110" s="21">
        <v>489113</v>
      </c>
      <c r="C110" s="22" cm="1">
        <f t="array" ref="C110">IF(ROW()&lt;14,"",IFERROR(B110/INDEX($B:$B,ROW()-12)-1,""))</f>
        <v>1.1429197702166771E-2</v>
      </c>
      <c r="D110" s="22" cm="1">
        <f t="array" ref="D110">IF(ROW()&lt;3,"NA",IFERROR(B110/INDEX($B:$B,ROW()-1)-1,"NA"))</f>
        <v>-1.9526755323200806E-2</v>
      </c>
      <c r="E110" s="22" cm="1">
        <f t="array" ref="E110">IF(ROW()&lt;5,"NA",IFERROR(B110/INDEX($B:$B,ROW()-3)-1,"NA"))</f>
        <v>-4.8707342926956887E-3</v>
      </c>
      <c r="F110" s="23">
        <f t="shared" si="1"/>
        <v>-0.18028917111321718</v>
      </c>
    </row>
    <row r="111" spans="1:6">
      <c r="A111" s="20">
        <v>43466</v>
      </c>
      <c r="B111" s="21">
        <v>490440</v>
      </c>
      <c r="C111" s="22" cm="1">
        <f t="array" ref="C111">IF(ROW()&lt;14,"",IFERROR(B111/INDEX($B:$B,ROW()-12)-1,""))</f>
        <v>1.8748935427719271E-2</v>
      </c>
      <c r="D111" s="22" cm="1">
        <f t="array" ref="D111">IF(ROW()&lt;3,"NA",IFERROR(B111/INDEX($B:$B,ROW()-1)-1,"NA"))</f>
        <v>2.7130744838104182E-3</v>
      </c>
      <c r="E111" s="22" cm="1">
        <f t="array" ref="E111">IF(ROW()&lt;5,"NA",IFERROR(B111/INDEX($B:$B,ROW()-3)-1,"NA"))</f>
        <v>-1.2038290466060753E-2</v>
      </c>
      <c r="F111" s="23">
        <f t="shared" si="1"/>
        <v>-0.16919952329821222</v>
      </c>
    </row>
    <row r="112" spans="1:6">
      <c r="A112" s="20">
        <v>43497</v>
      </c>
      <c r="B112" s="21">
        <v>491751</v>
      </c>
      <c r="C112" s="22" cm="1">
        <f t="array" ref="C112">IF(ROW()&lt;14,"",IFERROR(B112/INDEX($B:$B,ROW()-12)-1,""))</f>
        <v>1.5949391671194579E-2</v>
      </c>
      <c r="D112" s="22" cm="1">
        <f t="array" ref="D112">IF(ROW()&lt;3,"NA",IFERROR(B112/INDEX($B:$B,ROW()-1)-1,"NA"))</f>
        <v>2.6731098605334846E-3</v>
      </c>
      <c r="E112" s="22" cm="1">
        <f t="array" ref="E112">IF(ROW()&lt;5,"NA",IFERROR(B112/INDEX($B:$B,ROW()-3)-1,"NA"))</f>
        <v>-1.4238634951308393E-2</v>
      </c>
      <c r="F112" s="23">
        <f t="shared" si="1"/>
        <v>-0.15824358638376498</v>
      </c>
    </row>
    <row r="113" spans="1:6">
      <c r="A113" s="20">
        <v>43525</v>
      </c>
      <c r="B113" s="21">
        <v>499292</v>
      </c>
      <c r="C113" s="22" cm="1">
        <f t="array" ref="C113">IF(ROW()&lt;14,"",IFERROR(B113/INDEX($B:$B,ROW()-12)-1,""))</f>
        <v>3.1360641176592097E-2</v>
      </c>
      <c r="D113" s="22" cm="1">
        <f t="array" ref="D113">IF(ROW()&lt;3,"NA",IFERROR(B113/INDEX($B:$B,ROW()-1)-1,"NA"))</f>
        <v>1.533499677682415E-2</v>
      </c>
      <c r="E113" s="22" cm="1">
        <f t="array" ref="E113">IF(ROW()&lt;5,"NA",IFERROR(B113/INDEX($B:$B,ROW()-3)-1,"NA"))</f>
        <v>2.0811141801587718E-2</v>
      </c>
      <c r="F113" s="23">
        <f t="shared" si="1"/>
        <v>-9.522396756465995E-2</v>
      </c>
    </row>
    <row r="114" spans="1:6">
      <c r="A114" s="20">
        <v>43556</v>
      </c>
      <c r="B114" s="21">
        <v>499343</v>
      </c>
      <c r="C114" s="22" cm="1">
        <f t="array" ref="C114">IF(ROW()&lt;14,"",IFERROR(B114/INDEX($B:$B,ROW()-12)-1,""))</f>
        <v>3.1372249325627877E-2</v>
      </c>
      <c r="D114" s="22" cm="1">
        <f t="array" ref="D114">IF(ROW()&lt;3,"NA",IFERROR(B114/INDEX($B:$B,ROW()-1)-1,"NA"))</f>
        <v>1.0214463680568997E-4</v>
      </c>
      <c r="E114" s="22" cm="1">
        <f t="array" ref="E114">IF(ROW()&lt;5,"NA",IFERROR(B114/INDEX($B:$B,ROW()-3)-1,"NA"))</f>
        <v>1.8153087023896841E-2</v>
      </c>
      <c r="F114" s="23">
        <f t="shared" si="1"/>
        <v>-9.4797764069132248E-2</v>
      </c>
    </row>
    <row r="115" spans="1:6">
      <c r="A115" s="20">
        <v>43586</v>
      </c>
      <c r="B115" s="21">
        <v>504741</v>
      </c>
      <c r="C115" s="22" cm="1">
        <f t="array" ref="C115">IF(ROW()&lt;14,"",IFERROR(B115/INDEX($B:$B,ROW()-12)-1,""))</f>
        <v>2.5979754451581405E-2</v>
      </c>
      <c r="D115" s="22" cm="1">
        <f t="array" ref="D115">IF(ROW()&lt;3,"NA",IFERROR(B115/INDEX($B:$B,ROW()-1)-1,"NA"))</f>
        <v>1.0810204608856067E-2</v>
      </c>
      <c r="E115" s="22" cm="1">
        <f t="array" ref="E115">IF(ROW()&lt;5,"NA",IFERROR(B115/INDEX($B:$B,ROW()-3)-1,"NA"))</f>
        <v>2.6415808000390451E-2</v>
      </c>
      <c r="F115" s="23">
        <f t="shared" si="1"/>
        <v>-4.9687048993475313E-2</v>
      </c>
    </row>
    <row r="116" spans="1:6">
      <c r="A116" s="20">
        <v>43617</v>
      </c>
      <c r="B116" s="21">
        <v>505251</v>
      </c>
      <c r="C116" s="22" cm="1">
        <f t="array" ref="C116">IF(ROW()&lt;14,"",IFERROR(B116/INDEX($B:$B,ROW()-12)-1,""))</f>
        <v>3.0644924402522866E-2</v>
      </c>
      <c r="D116" s="22" cm="1">
        <f t="array" ref="D116">IF(ROW()&lt;3,"NA",IFERROR(B116/INDEX($B:$B,ROW()-1)-1,"NA"))</f>
        <v>1.0104192050972571E-3</v>
      </c>
      <c r="E116" s="22" cm="1">
        <f t="array" ref="E116">IF(ROW()&lt;5,"NA",IFERROR(B116/INDEX($B:$B,ROW()-3)-1,"NA"))</f>
        <v>1.1934899818142553E-2</v>
      </c>
      <c r="F116" s="23">
        <f t="shared" si="1"/>
        <v>-4.5425014038198347E-2</v>
      </c>
    </row>
    <row r="117" spans="1:6">
      <c r="A117" s="20">
        <v>43647</v>
      </c>
      <c r="B117" s="21">
        <v>509091</v>
      </c>
      <c r="C117" s="22" cm="1">
        <f t="array" ref="C117">IF(ROW()&lt;14,"",IFERROR(B117/INDEX($B:$B,ROW()-12)-1,""))</f>
        <v>3.2341597349242246E-2</v>
      </c>
      <c r="D117" s="22" cm="1">
        <f t="array" ref="D117">IF(ROW()&lt;3,"NA",IFERROR(B117/INDEX($B:$B,ROW()-1)-1,"NA"))</f>
        <v>7.6001828794005633E-3</v>
      </c>
      <c r="E117" s="22" cm="1">
        <f t="array" ref="E117">IF(ROW()&lt;5,"NA",IFERROR(B117/INDEX($B:$B,ROW()-3)-1,"NA"))</f>
        <v>1.9521651450005395E-2</v>
      </c>
      <c r="F117" s="23">
        <f t="shared" si="1"/>
        <v>-1.3334397904348285E-2</v>
      </c>
    </row>
    <row r="118" spans="1:6">
      <c r="A118" s="20">
        <v>43678</v>
      </c>
      <c r="B118" s="21">
        <v>512561</v>
      </c>
      <c r="C118" s="22" cm="1">
        <f t="array" ref="C118">IF(ROW()&lt;14,"",IFERROR(B118/INDEX($B:$B,ROW()-12)-1,""))</f>
        <v>3.8739879824499113E-2</v>
      </c>
      <c r="D118" s="22" cm="1">
        <f t="array" ref="D118">IF(ROW()&lt;3,"NA",IFERROR(B118/INDEX($B:$B,ROW()-1)-1,"NA"))</f>
        <v>6.8160702114159477E-3</v>
      </c>
      <c r="E118" s="22" cm="1">
        <f t="array" ref="E118">IF(ROW()&lt;5,"NA",IFERROR(B118/INDEX($B:$B,ROW()-3)-1,"NA"))</f>
        <v>1.5493094478158165E-2</v>
      </c>
      <c r="F118" s="23">
        <f t="shared" si="1"/>
        <v>1.5664153654104767E-2</v>
      </c>
    </row>
    <row r="119" spans="1:6">
      <c r="A119" s="20">
        <v>43709</v>
      </c>
      <c r="B119" s="21">
        <v>509282</v>
      </c>
      <c r="C119" s="22" cm="1">
        <f t="array" ref="C119">IF(ROW()&lt;14,"",IFERROR(B119/INDEX($B:$B,ROW()-12)-1,""))</f>
        <v>3.6164286571707116E-2</v>
      </c>
      <c r="D119" s="22" cm="1">
        <f t="array" ref="D119">IF(ROW()&lt;3,"NA",IFERROR(B119/INDEX($B:$B,ROW()-1)-1,"NA"))</f>
        <v>-6.3972873472620817E-3</v>
      </c>
      <c r="E119" s="22" cm="1">
        <f t="array" ref="E119">IF(ROW()&lt;5,"NA",IFERROR(B119/INDEX($B:$B,ROW()-3)-1,"NA"))</f>
        <v>7.978212809079066E-3</v>
      </c>
      <c r="F119" s="23">
        <f t="shared" si="1"/>
        <v>-1.173822402894064E-2</v>
      </c>
    </row>
    <row r="120" spans="1:6">
      <c r="A120" s="20">
        <v>43739</v>
      </c>
      <c r="B120" s="21">
        <v>510648</v>
      </c>
      <c r="C120" s="22" cm="1">
        <f t="array" ref="C120">IF(ROW()&lt;14,"",IFERROR(B120/INDEX($B:$B,ROW()-12)-1,""))</f>
        <v>2.8669502997485941E-2</v>
      </c>
      <c r="D120" s="22" cm="1">
        <f t="array" ref="D120">IF(ROW()&lt;3,"NA",IFERROR(B120/INDEX($B:$B,ROW()-1)-1,"NA"))</f>
        <v>2.6822074999706125E-3</v>
      </c>
      <c r="E120" s="22" cm="1">
        <f t="array" ref="E120">IF(ROW()&lt;5,"NA",IFERROR(B120/INDEX($B:$B,ROW()-3)-1,"NA"))</f>
        <v>3.0583923110014677E-3</v>
      </c>
      <c r="F120" s="23">
        <f t="shared" si="1"/>
        <v>-3.2265589382626754E-4</v>
      </c>
    </row>
    <row r="121" spans="1:6">
      <c r="A121" s="20">
        <v>43770</v>
      </c>
      <c r="B121" s="21">
        <v>514215</v>
      </c>
      <c r="C121" s="22" cm="1">
        <f t="array" ref="C121">IF(ROW()&lt;14,"",IFERROR(B121/INDEX($B:$B,ROW()-12)-1,""))</f>
        <v>3.0792576585534137E-2</v>
      </c>
      <c r="D121" s="22" cm="1">
        <f t="array" ref="D121">IF(ROW()&lt;3,"NA",IFERROR(B121/INDEX($B:$B,ROW()-1)-1,"NA"))</f>
        <v>6.985242280396653E-3</v>
      </c>
      <c r="E121" s="22" cm="1">
        <f t="array" ref="E121">IF(ROW()&lt;5,"NA",IFERROR(B121/INDEX($B:$B,ROW()-3)-1,"NA"))</f>
        <v>3.2269329894392129E-3</v>
      </c>
      <c r="F121" s="23">
        <f t="shared" si="1"/>
        <v>2.9486517999257895E-2</v>
      </c>
    </row>
    <row r="122" spans="1:6">
      <c r="A122" s="20">
        <v>43800</v>
      </c>
      <c r="B122" s="21">
        <v>515866</v>
      </c>
      <c r="C122" s="22" cm="1">
        <f t="array" ref="C122">IF(ROW()&lt;14,"",IFERROR(B122/INDEX($B:$B,ROW()-12)-1,""))</f>
        <v>5.4696971865397126E-2</v>
      </c>
      <c r="D122" s="22" cm="1">
        <f t="array" ref="D122">IF(ROW()&lt;3,"NA",IFERROR(B122/INDEX($B:$B,ROW()-1)-1,"NA"))</f>
        <v>3.2107192516748206E-3</v>
      </c>
      <c r="E122" s="22" cm="1">
        <f t="array" ref="E122">IF(ROW()&lt;5,"NA",IFERROR(B122/INDEX($B:$B,ROW()-3)-1,"NA"))</f>
        <v>1.2928004524016101E-2</v>
      </c>
      <c r="F122" s="23">
        <f t="shared" si="1"/>
        <v>4.3283811550556453E-2</v>
      </c>
    </row>
    <row r="123" spans="1:6">
      <c r="A123" s="20">
        <v>43831</v>
      </c>
      <c r="B123" s="21">
        <v>515119</v>
      </c>
      <c r="C123" s="22" cm="1">
        <f t="array" ref="C123">IF(ROW()&lt;14,"",IFERROR(B123/INDEX($B:$B,ROW()-12)-1,""))</f>
        <v>5.0320120707935789E-2</v>
      </c>
      <c r="D123" s="22" cm="1">
        <f t="array" ref="D123">IF(ROW()&lt;3,"NA",IFERROR(B123/INDEX($B:$B,ROW()-1)-1,"NA"))</f>
        <v>-1.4480504627170099E-3</v>
      </c>
      <c r="E123" s="22" cm="1">
        <f t="array" ref="E123">IF(ROW()&lt;5,"NA",IFERROR(B123/INDEX($B:$B,ROW()-3)-1,"NA"))</f>
        <v>8.7555419780358523E-3</v>
      </c>
      <c r="F123" s="23">
        <f t="shared" si="1"/>
        <v>3.7041183880768429E-2</v>
      </c>
    </row>
    <row r="124" spans="1:6">
      <c r="A124" s="20">
        <v>43862</v>
      </c>
      <c r="B124" s="21">
        <v>515330</v>
      </c>
      <c r="C124" s="22" cm="1">
        <f t="array" ref="C124">IF(ROW()&lt;14,"",IFERROR(B124/INDEX($B:$B,ROW()-12)-1,""))</f>
        <v>4.7949063652132917E-2</v>
      </c>
      <c r="D124" s="22" cm="1">
        <f t="array" ref="D124">IF(ROW()&lt;3,"NA",IFERROR(B124/INDEX($B:$B,ROW()-1)-1,"NA"))</f>
        <v>4.0961408917161712E-4</v>
      </c>
      <c r="E124" s="22" cm="1">
        <f t="array" ref="E124">IF(ROW()&lt;5,"NA",IFERROR(B124/INDEX($B:$B,ROW()-3)-1,"NA"))</f>
        <v>2.1683537041898848E-3</v>
      </c>
      <c r="F124" s="23">
        <f t="shared" si="1"/>
        <v>3.8804496381873214E-2</v>
      </c>
    </row>
    <row r="125" spans="1:6">
      <c r="A125" s="20">
        <v>43891</v>
      </c>
      <c r="B125" s="21">
        <v>468324</v>
      </c>
      <c r="C125" s="22" cm="1">
        <f t="array" ref="C125">IF(ROW()&lt;14,"",IFERROR(B125/INDEX($B:$B,ROW()-12)-1,""))</f>
        <v>-6.2023825737243965E-2</v>
      </c>
      <c r="D125" s="22" cm="1">
        <f t="array" ref="D125">IF(ROW()&lt;3,"NA",IFERROR(B125/INDEX($B:$B,ROW()-1)-1,"NA"))</f>
        <v>-9.1215337744746106E-2</v>
      </c>
      <c r="E125" s="22" cm="1">
        <f t="array" ref="E125">IF(ROW()&lt;5,"NA",IFERROR(B125/INDEX($B:$B,ROW()-3)-1,"NA"))</f>
        <v>-9.2159591831987409E-2</v>
      </c>
      <c r="F125" s="23">
        <f t="shared" si="1"/>
        <v>-0.35402141559410494</v>
      </c>
    </row>
    <row r="126" spans="1:6">
      <c r="A126" s="20">
        <v>43922</v>
      </c>
      <c r="B126" s="21">
        <v>401028</v>
      </c>
      <c r="C126" s="22" cm="1">
        <f t="array" ref="C126">IF(ROW()&lt;14,"",IFERROR(B126/INDEX($B:$B,ROW()-12)-1,""))</f>
        <v>-0.19688871176726219</v>
      </c>
      <c r="D126" s="22" cm="1">
        <f t="array" ref="D126">IF(ROW()&lt;3,"NA",IFERROR(B126/INDEX($B:$B,ROW()-1)-1,"NA"))</f>
        <v>-0.14369539037076895</v>
      </c>
      <c r="E126" s="22" cm="1">
        <f t="array" ref="E126">IF(ROW()&lt;5,"NA",IFERROR(B126/INDEX($B:$B,ROW()-3)-1,"NA"))</f>
        <v>-0.22148474430180209</v>
      </c>
      <c r="F126" s="23">
        <f t="shared" si="1"/>
        <v>-0.91640946333982731</v>
      </c>
    </row>
    <row r="127" spans="1:6">
      <c r="A127" s="20">
        <v>43952</v>
      </c>
      <c r="B127" s="21">
        <v>478449</v>
      </c>
      <c r="C127" s="22" cm="1">
        <f t="array" ref="C127">IF(ROW()&lt;14,"",IFERROR(B127/INDEX($B:$B,ROW()-12)-1,""))</f>
        <v>-5.2090081843955582E-2</v>
      </c>
      <c r="D127" s="22" cm="1">
        <f t="array" ref="D127">IF(ROW()&lt;3,"NA",IFERROR(B127/INDEX($B:$B,ROW()-1)-1,"NA"))</f>
        <v>0.19305634519285442</v>
      </c>
      <c r="E127" s="22" cm="1">
        <f t="array" ref="E127">IF(ROW()&lt;5,"NA",IFERROR(B127/INDEX($B:$B,ROW()-3)-1,"NA"))</f>
        <v>-7.1567733297110636E-2</v>
      </c>
      <c r="F127" s="23">
        <f t="shared" si="1"/>
        <v>-0.26940748633492995</v>
      </c>
    </row>
    <row r="128" spans="1:6">
      <c r="A128" s="20">
        <v>43983</v>
      </c>
      <c r="B128" s="21">
        <v>518038</v>
      </c>
      <c r="C128" s="22" cm="1">
        <f t="array" ref="C128">IF(ROW()&lt;14,"",IFERROR(B128/INDEX($B:$B,ROW()-12)-1,""))</f>
        <v>2.5308213145545544E-2</v>
      </c>
      <c r="D128" s="22" cm="1">
        <f t="array" ref="D128">IF(ROW()&lt;3,"NA",IFERROR(B128/INDEX($B:$B,ROW()-1)-1,"NA"))</f>
        <v>8.2744451341731251E-2</v>
      </c>
      <c r="E128" s="22" cm="1">
        <f t="array" ref="E128">IF(ROW()&lt;5,"NA",IFERROR(B128/INDEX($B:$B,ROW()-3)-1,"NA"))</f>
        <v>0.10615300518444504</v>
      </c>
      <c r="F128" s="23">
        <f t="shared" si="1"/>
        <v>6.1435066301265391E-2</v>
      </c>
    </row>
    <row r="129" spans="1:6">
      <c r="A129" s="20">
        <v>44013</v>
      </c>
      <c r="B129" s="21">
        <v>526304</v>
      </c>
      <c r="C129" s="22" cm="1">
        <f t="array" ref="C129">IF(ROW()&lt;14,"",IFERROR(B129/INDEX($B:$B,ROW()-12)-1,""))</f>
        <v>3.381124396227797E-2</v>
      </c>
      <c r="D129" s="22" cm="1">
        <f t="array" ref="D129">IF(ROW()&lt;3,"NA",IFERROR(B129/INDEX($B:$B,ROW()-1)-1,"NA"))</f>
        <v>1.595635841386156E-2</v>
      </c>
      <c r="E129" s="22" cm="1">
        <f t="array" ref="E129">IF(ROW()&lt;5,"NA",IFERROR(B129/INDEX($B:$B,ROW()-3)-1,"NA"))</f>
        <v>0.31238716498598595</v>
      </c>
      <c r="F129" s="23">
        <f t="shared" si="1"/>
        <v>0.13051346030189159</v>
      </c>
    </row>
    <row r="130" spans="1:6">
      <c r="A130" s="20">
        <v>44044</v>
      </c>
      <c r="B130" s="21">
        <v>530735</v>
      </c>
      <c r="C130" s="22" cm="1">
        <f t="array" ref="C130">IF(ROW()&lt;14,"",IFERROR(B130/INDEX($B:$B,ROW()-12)-1,""))</f>
        <v>3.5457243137889893E-2</v>
      </c>
      <c r="D130" s="22" cm="1">
        <f t="array" ref="D130">IF(ROW()&lt;3,"NA",IFERROR(B130/INDEX($B:$B,ROW()-1)-1,"NA"))</f>
        <v>8.4190885875843335E-3</v>
      </c>
      <c r="E130" s="22" cm="1">
        <f t="array" ref="E130">IF(ROW()&lt;5,"NA",IFERROR(B130/INDEX($B:$B,ROW()-3)-1,"NA"))</f>
        <v>0.10928228505023529</v>
      </c>
      <c r="F130" s="23">
        <f t="shared" si="1"/>
        <v>0.16754302282509204</v>
      </c>
    </row>
    <row r="131" spans="1:6">
      <c r="A131" s="20">
        <v>44075</v>
      </c>
      <c r="B131" s="21">
        <v>541302</v>
      </c>
      <c r="C131" s="22" cm="1">
        <f t="array" ref="C131">IF(ROW()&lt;14,"",IFERROR(B131/INDEX($B:$B,ROW()-12)-1,""))</f>
        <v>6.2872828806044501E-2</v>
      </c>
      <c r="D131" s="22" cm="1">
        <f t="array" ref="D131">IF(ROW()&lt;3,"NA",IFERROR(B131/INDEX($B:$B,ROW()-1)-1,"NA"))</f>
        <v>1.991012463847297E-2</v>
      </c>
      <c r="E131" s="22" cm="1">
        <f t="array" ref="E131">IF(ROW()&lt;5,"NA",IFERROR(B131/INDEX($B:$B,ROW()-3)-1,"NA"))</f>
        <v>4.4907902509082387E-2</v>
      </c>
      <c r="F131" s="23">
        <f t="shared" si="1"/>
        <v>0.25585071571217372</v>
      </c>
    </row>
    <row r="132" spans="1:6">
      <c r="A132" s="20">
        <v>44105</v>
      </c>
      <c r="B132" s="21">
        <v>539114</v>
      </c>
      <c r="C132" s="22" cm="1">
        <f t="array" ref="C132">IF(ROW()&lt;14,"",IFERROR(B132/INDEX($B:$B,ROW()-12)-1,""))</f>
        <v>5.5744857514373969E-2</v>
      </c>
      <c r="D132" s="22" cm="1">
        <f t="array" ref="D132">IF(ROW()&lt;3,"NA",IFERROR(B132/INDEX($B:$B,ROW()-1)-1,"NA"))</f>
        <v>-4.0421058854391845E-3</v>
      </c>
      <c r="E132" s="22" cm="1">
        <f t="array" ref="E132">IF(ROW()&lt;5,"NA",IFERROR(B132/INDEX($B:$B,ROW()-3)-1,"NA"))</f>
        <v>2.4339545205812607E-2</v>
      </c>
      <c r="F132" s="23">
        <f t="shared" ref="F132:F195" si="2">IFERROR((B132-AVERAGE($B:$B))/_xlfn.STDEV.S($B:$B),"")</f>
        <v>0.23756575006090705</v>
      </c>
    </row>
    <row r="133" spans="1:6">
      <c r="A133" s="20">
        <v>44136</v>
      </c>
      <c r="B133" s="21">
        <v>533941</v>
      </c>
      <c r="C133" s="22" cm="1">
        <f t="array" ref="C133">IF(ROW()&lt;14,"",IFERROR(B133/INDEX($B:$B,ROW()-12)-1,""))</f>
        <v>3.8361385801658932E-2</v>
      </c>
      <c r="D133" s="22" cm="1">
        <f t="array" ref="D133">IF(ROW()&lt;3,"NA",IFERROR(B133/INDEX($B:$B,ROW()-1)-1,"NA"))</f>
        <v>-9.5953731492782746E-3</v>
      </c>
      <c r="E133" s="22" cm="1">
        <f t="array" ref="E133">IF(ROW()&lt;5,"NA",IFERROR(B133/INDEX($B:$B,ROW()-3)-1,"NA"))</f>
        <v>6.0406794351230975E-3</v>
      </c>
      <c r="F133" s="23">
        <f t="shared" si="2"/>
        <v>0.1943353445243429</v>
      </c>
    </row>
    <row r="134" spans="1:6">
      <c r="A134" s="20">
        <v>44166</v>
      </c>
      <c r="B134" s="21">
        <v>538548</v>
      </c>
      <c r="C134" s="22" cm="1">
        <f t="array" ref="C134">IF(ROW()&lt;14,"",IFERROR(B134/INDEX($B:$B,ROW()-12)-1,""))</f>
        <v>4.3968782590827926E-2</v>
      </c>
      <c r="D134" s="22" cm="1">
        <f t="array" ref="D134">IF(ROW()&lt;3,"NA",IFERROR(B134/INDEX($B:$B,ROW()-1)-1,"NA"))</f>
        <v>8.6282941373672095E-3</v>
      </c>
      <c r="E134" s="22" cm="1">
        <f t="array" ref="E134">IF(ROW()&lt;5,"NA",IFERROR(B134/INDEX($B:$B,ROW()-3)-1,"NA"))</f>
        <v>-5.0877329106487901E-3</v>
      </c>
      <c r="F134" s="23">
        <f t="shared" si="2"/>
        <v>0.2328357269536781</v>
      </c>
    </row>
    <row r="135" spans="1:6">
      <c r="A135" s="20">
        <v>44197</v>
      </c>
      <c r="B135" s="21">
        <v>559230</v>
      </c>
      <c r="C135" s="22" cm="1">
        <f t="array" ref="C135">IF(ROW()&lt;14,"",IFERROR(B135/INDEX($B:$B,ROW()-12)-1,""))</f>
        <v>8.5632640224880152E-2</v>
      </c>
      <c r="D135" s="22" cm="1">
        <f t="array" ref="D135">IF(ROW()&lt;3,"NA",IFERROR(B135/INDEX($B:$B,ROW()-1)-1,"NA"))</f>
        <v>3.8403262104770519E-2</v>
      </c>
      <c r="E135" s="22" cm="1">
        <f t="array" ref="E135">IF(ROW()&lt;5,"NA",IFERROR(B135/INDEX($B:$B,ROW()-3)-1,"NA"))</f>
        <v>3.7313072930771574E-2</v>
      </c>
      <c r="F135" s="23">
        <f t="shared" si="2"/>
        <v>0.40567377978708619</v>
      </c>
    </row>
    <row r="136" spans="1:6">
      <c r="A136" s="20">
        <v>44228</v>
      </c>
      <c r="B136" s="21">
        <v>544891</v>
      </c>
      <c r="C136" s="22" cm="1">
        <f t="array" ref="C136">IF(ROW()&lt;14,"",IFERROR(B136/INDEX($B:$B,ROW()-12)-1,""))</f>
        <v>5.7363242970523753E-2</v>
      </c>
      <c r="D136" s="22" cm="1">
        <f t="array" ref="D136">IF(ROW()&lt;3,"NA",IFERROR(B136/INDEX($B:$B,ROW()-1)-1,"NA"))</f>
        <v>-2.5640612985712519E-2</v>
      </c>
      <c r="E136" s="22" cm="1">
        <f t="array" ref="E136">IF(ROW()&lt;5,"NA",IFERROR(B136/INDEX($B:$B,ROW()-3)-1,"NA"))</f>
        <v>2.0507883829861351E-2</v>
      </c>
      <c r="F136" s="23">
        <f t="shared" si="2"/>
        <v>0.2858437420935247</v>
      </c>
    </row>
    <row r="137" spans="1:6">
      <c r="A137" s="20">
        <v>44256</v>
      </c>
      <c r="B137" s="21">
        <v>603581</v>
      </c>
      <c r="C137" s="22" cm="1">
        <f t="array" ref="C137">IF(ROW()&lt;14,"",IFERROR(B137/INDEX($B:$B,ROW()-12)-1,""))</f>
        <v>0.2888107378652387</v>
      </c>
      <c r="D137" s="22" cm="1">
        <f t="array" ref="D137">IF(ROW()&lt;3,"NA",IFERROR(B137/INDEX($B:$B,ROW()-1)-1,"NA"))</f>
        <v>0.10770961531755896</v>
      </c>
      <c r="E137" s="22" cm="1">
        <f t="array" ref="E137">IF(ROW()&lt;5,"NA",IFERROR(B137/INDEX($B:$B,ROW()-3)-1,"NA"))</f>
        <v>0.12075618143600941</v>
      </c>
      <c r="F137" s="23">
        <f t="shared" si="2"/>
        <v>0.77631203920176961</v>
      </c>
    </row>
    <row r="138" spans="1:6">
      <c r="A138" s="20">
        <v>44287</v>
      </c>
      <c r="B138" s="21">
        <v>608961</v>
      </c>
      <c r="C138" s="22" cm="1">
        <f t="array" ref="C138">IF(ROW()&lt;14,"",IFERROR(B138/INDEX($B:$B,ROW()-12)-1,""))</f>
        <v>0.51849995511535352</v>
      </c>
      <c r="D138" s="22" cm="1">
        <f t="array" ref="D138">IF(ROW()&lt;3,"NA",IFERROR(B138/INDEX($B:$B,ROW()-1)-1,"NA"))</f>
        <v>8.9134681177835962E-3</v>
      </c>
      <c r="E138" s="22" cm="1">
        <f t="array" ref="E138">IF(ROW()&lt;5,"NA",IFERROR(B138/INDEX($B:$B,ROW()-3)-1,"NA"))</f>
        <v>8.8927632637733955E-2</v>
      </c>
      <c r="F138" s="23">
        <f t="shared" si="2"/>
        <v>0.82127232951429907</v>
      </c>
    </row>
    <row r="139" spans="1:6">
      <c r="A139" s="20">
        <v>44317</v>
      </c>
      <c r="B139" s="21">
        <v>605282</v>
      </c>
      <c r="C139" s="22" cm="1">
        <f t="array" ref="C139">IF(ROW()&lt;14,"",IFERROR(B139/INDEX($B:$B,ROW()-12)-1,""))</f>
        <v>0.26509199517607929</v>
      </c>
      <c r="D139" s="22" cm="1">
        <f t="array" ref="D139">IF(ROW()&lt;3,"NA",IFERROR(B139/INDEX($B:$B,ROW()-1)-1,"NA"))</f>
        <v>-6.0414377932248575E-3</v>
      </c>
      <c r="E139" s="22" cm="1">
        <f t="array" ref="E139">IF(ROW()&lt;5,"NA",IFERROR(B139/INDEX($B:$B,ROW()-3)-1,"NA"))</f>
        <v>0.11083134058004251</v>
      </c>
      <c r="F139" s="23">
        <f t="shared" si="2"/>
        <v>0.79052717931731098</v>
      </c>
    </row>
    <row r="140" spans="1:6">
      <c r="A140" s="20">
        <v>44348</v>
      </c>
      <c r="B140" s="21">
        <v>611950</v>
      </c>
      <c r="C140" s="22" cm="1">
        <f t="array" ref="C140">IF(ROW()&lt;14,"",IFERROR(B140/INDEX($B:$B,ROW()-12)-1,""))</f>
        <v>0.18128399847115473</v>
      </c>
      <c r="D140" s="22" cm="1">
        <f t="array" ref="D140">IF(ROW()&lt;3,"NA",IFERROR(B140/INDEX($B:$B,ROW()-1)-1,"NA"))</f>
        <v>1.1016352708324462E-2</v>
      </c>
      <c r="E140" s="22" cm="1">
        <f t="array" ref="E140">IF(ROW()&lt;5,"NA",IFERROR(B140/INDEX($B:$B,ROW()-3)-1,"NA"))</f>
        <v>1.3865578936381295E-2</v>
      </c>
      <c r="F140" s="23">
        <f t="shared" si="2"/>
        <v>0.84625119712473607</v>
      </c>
    </row>
    <row r="141" spans="1:6">
      <c r="A141" s="20">
        <v>44378</v>
      </c>
      <c r="B141" s="21">
        <v>601817</v>
      </c>
      <c r="C141" s="22" cm="1">
        <f t="array" ref="C141">IF(ROW()&lt;14,"",IFERROR(B141/INDEX($B:$B,ROW()-12)-1,""))</f>
        <v>0.14347791390527154</v>
      </c>
      <c r="D141" s="22" cm="1">
        <f t="array" ref="D141">IF(ROW()&lt;3,"NA",IFERROR(B141/INDEX($B:$B,ROW()-1)-1,"NA"))</f>
        <v>-1.6558542364572215E-2</v>
      </c>
      <c r="E141" s="22" cm="1">
        <f t="array" ref="E141">IF(ROW()&lt;5,"NA",IFERROR(B141/INDEX($B:$B,ROW()-3)-1,"NA"))</f>
        <v>-1.1731457351127572E-2</v>
      </c>
      <c r="F141" s="23">
        <f t="shared" si="2"/>
        <v>0.76157041241528223</v>
      </c>
    </row>
    <row r="142" spans="1:6">
      <c r="A142" s="20">
        <v>44409</v>
      </c>
      <c r="B142" s="21">
        <v>605533</v>
      </c>
      <c r="C142" s="22" cm="1">
        <f t="array" ref="C142">IF(ROW()&lt;14,"",IFERROR(B142/INDEX($B:$B,ROW()-12)-1,""))</f>
        <v>0.14093285726398297</v>
      </c>
      <c r="D142" s="22" cm="1">
        <f t="array" ref="D142">IF(ROW()&lt;3,"NA",IFERROR(B142/INDEX($B:$B,ROW()-1)-1,"NA"))</f>
        <v>6.1746344819106902E-3</v>
      </c>
      <c r="E142" s="22" cm="1">
        <f t="array" ref="E142">IF(ROW()&lt;5,"NA",IFERROR(B142/INDEX($B:$B,ROW()-3)-1,"NA"))</f>
        <v>4.1468274291989182E-4</v>
      </c>
      <c r="F142" s="23">
        <f t="shared" si="2"/>
        <v>0.79262476906981005</v>
      </c>
    </row>
    <row r="143" spans="1:6">
      <c r="A143" s="20">
        <v>44440</v>
      </c>
      <c r="B143" s="21">
        <v>609671</v>
      </c>
      <c r="C143" s="22" cm="1">
        <f t="array" ref="C143">IF(ROW()&lt;14,"",IFERROR(B143/INDEX($B:$B,ROW()-12)-1,""))</f>
        <v>0.12630472453454811</v>
      </c>
      <c r="D143" s="22" cm="1">
        <f t="array" ref="D143">IF(ROW()&lt;3,"NA",IFERROR(B143/INDEX($B:$B,ROW()-1)-1,"NA"))</f>
        <v>6.8336490331657451E-3</v>
      </c>
      <c r="E143" s="22" cm="1">
        <f t="array" ref="E143">IF(ROW()&lt;5,"NA",IFERROR(B143/INDEX($B:$B,ROW()-3)-1,"NA"))</f>
        <v>-3.7241604706267362E-3</v>
      </c>
      <c r="F143" s="23">
        <f t="shared" si="2"/>
        <v>0.82720575072654745</v>
      </c>
    </row>
    <row r="144" spans="1:6">
      <c r="A144" s="20">
        <v>44470</v>
      </c>
      <c r="B144" s="21">
        <v>618573</v>
      </c>
      <c r="C144" s="22" cm="1">
        <f t="array" ref="C144">IF(ROW()&lt;14,"",IFERROR(B144/INDEX($B:$B,ROW()-12)-1,""))</f>
        <v>0.14738812199275109</v>
      </c>
      <c r="D144" s="22" cm="1">
        <f t="array" ref="D144">IF(ROW()&lt;3,"NA",IFERROR(B144/INDEX($B:$B,ROW()-1)-1,"NA"))</f>
        <v>1.4601317759906474E-2</v>
      </c>
      <c r="E144" s="22" cm="1">
        <f t="array" ref="E144">IF(ROW()&lt;5,"NA",IFERROR(B144/INDEX($B:$B,ROW()-3)-1,"NA"))</f>
        <v>2.7842350747818712E-2</v>
      </c>
      <c r="F144" s="23">
        <f t="shared" si="2"/>
        <v>0.90159915302434257</v>
      </c>
    </row>
    <row r="145" spans="1:6">
      <c r="A145" s="20">
        <v>44501</v>
      </c>
      <c r="B145" s="21">
        <v>624874</v>
      </c>
      <c r="C145" s="22" cm="1">
        <f t="array" ref="C145">IF(ROW()&lt;14,"",IFERROR(B145/INDEX($B:$B,ROW()-12)-1,""))</f>
        <v>0.170305333360802</v>
      </c>
      <c r="D145" s="22" cm="1">
        <f t="array" ref="D145">IF(ROW()&lt;3,"NA",IFERROR(B145/INDEX($B:$B,ROW()-1)-1,"NA"))</f>
        <v>1.0186348256390199E-2</v>
      </c>
      <c r="E145" s="22" cm="1">
        <f t="array" ref="E145">IF(ROW()&lt;5,"NA",IFERROR(B145/INDEX($B:$B,ROW()-3)-1,"NA"))</f>
        <v>3.1940455763765252E-2</v>
      </c>
      <c r="F145" s="23">
        <f t="shared" si="2"/>
        <v>0.95425617705022514</v>
      </c>
    </row>
    <row r="146" spans="1:6">
      <c r="A146" s="20">
        <v>44531</v>
      </c>
      <c r="B146" s="21">
        <v>619938</v>
      </c>
      <c r="C146" s="22" cm="1">
        <f t="array" ref="C146">IF(ROW()&lt;14,"",IFERROR(B146/INDEX($B:$B,ROW()-12)-1,""))</f>
        <v>0.1511285902092292</v>
      </c>
      <c r="D146" s="22" cm="1">
        <f t="array" ref="D146">IF(ROW()&lt;3,"NA",IFERROR(B146/INDEX($B:$B,ROW()-1)-1,"NA"))</f>
        <v>-7.8991924772033872E-3</v>
      </c>
      <c r="E146" s="22" cm="1">
        <f t="array" ref="E146">IF(ROW()&lt;5,"NA",IFERROR(B146/INDEX($B:$B,ROW()-3)-1,"NA"))</f>
        <v>1.6840230222529895E-2</v>
      </c>
      <c r="F146" s="23">
        <f t="shared" si="2"/>
        <v>0.91300636422817205</v>
      </c>
    </row>
    <row r="147" spans="1:6">
      <c r="A147" s="20">
        <v>44562</v>
      </c>
      <c r="B147" s="21">
        <v>631509</v>
      </c>
      <c r="C147" s="22" cm="1">
        <f t="array" ref="C147">IF(ROW()&lt;14,"",IFERROR(B147/INDEX($B:$B,ROW()-12)-1,""))</f>
        <v>0.1292473579743576</v>
      </c>
      <c r="D147" s="22" cm="1">
        <f t="array" ref="D147">IF(ROW()&lt;3,"NA",IFERROR(B147/INDEX($B:$B,ROW()-1)-1,"NA"))</f>
        <v>1.866476970277664E-2</v>
      </c>
      <c r="E147" s="22" cm="1">
        <f t="array" ref="E147">IF(ROW()&lt;5,"NA",IFERROR(B147/INDEX($B:$B,ROW()-3)-1,"NA"))</f>
        <v>2.0912648951700197E-2</v>
      </c>
      <c r="F147" s="23">
        <f t="shared" si="2"/>
        <v>1.00970441612525</v>
      </c>
    </row>
    <row r="148" spans="1:6">
      <c r="A148" s="20">
        <v>44593</v>
      </c>
      <c r="B148" s="21">
        <v>638101</v>
      </c>
      <c r="C148" s="22" cm="1">
        <f t="array" ref="C148">IF(ROW()&lt;14,"",IFERROR(B148/INDEX($B:$B,ROW()-12)-1,""))</f>
        <v>0.1710617352828363</v>
      </c>
      <c r="D148" s="22" cm="1">
        <f t="array" ref="D148">IF(ROW()&lt;3,"NA",IFERROR(B148/INDEX($B:$B,ROW()-1)-1,"NA"))</f>
        <v>1.0438489396033868E-2</v>
      </c>
      <c r="E148" s="22" cm="1">
        <f t="array" ref="E148">IF(ROW()&lt;5,"NA",IFERROR(B148/INDEX($B:$B,ROW()-3)-1,"NA"))</f>
        <v>2.1167467361420167E-2</v>
      </c>
      <c r="F148" s="23">
        <f t="shared" si="2"/>
        <v>1.064793307155026</v>
      </c>
    </row>
    <row r="149" spans="1:6">
      <c r="A149" s="20">
        <v>44621</v>
      </c>
      <c r="B149" s="21">
        <v>651027</v>
      </c>
      <c r="C149" s="22" cm="1">
        <f t="array" ref="C149">IF(ROW()&lt;14,"",IFERROR(B149/INDEX($B:$B,ROW()-12)-1,""))</f>
        <v>7.8607510839473038E-2</v>
      </c>
      <c r="D149" s="22" cm="1">
        <f t="array" ref="D149">IF(ROW()&lt;3,"NA",IFERROR(B149/INDEX($B:$B,ROW()-1)-1,"NA"))</f>
        <v>2.0256981261587148E-2</v>
      </c>
      <c r="E149" s="22" cm="1">
        <f t="array" ref="E149">IF(ROW()&lt;5,"NA",IFERROR(B149/INDEX($B:$B,ROW()-3)-1,"NA"))</f>
        <v>5.0148563243421096E-2</v>
      </c>
      <c r="F149" s="23">
        <f t="shared" si="2"/>
        <v>1.1728150009430847</v>
      </c>
    </row>
    <row r="150" spans="1:6">
      <c r="A150" s="20">
        <v>44652</v>
      </c>
      <c r="B150" s="21">
        <v>660194</v>
      </c>
      <c r="C150" s="22" cm="1">
        <f t="array" ref="C150">IF(ROW()&lt;14,"",IFERROR(B150/INDEX($B:$B,ROW()-12)-1,""))</f>
        <v>8.4131824533919319E-2</v>
      </c>
      <c r="D150" s="22" cm="1">
        <f t="array" ref="D150">IF(ROW()&lt;3,"NA",IFERROR(B150/INDEX($B:$B,ROW()-1)-1,"NA"))</f>
        <v>1.408082921292042E-2</v>
      </c>
      <c r="E150" s="22" cm="1">
        <f t="array" ref="E150">IF(ROW()&lt;5,"NA",IFERROR(B150/INDEX($B:$B,ROW()-3)-1,"NA"))</f>
        <v>4.5422947258075608E-2</v>
      </c>
      <c r="F150" s="23">
        <f t="shared" si="2"/>
        <v>1.2494229900313669</v>
      </c>
    </row>
    <row r="151" spans="1:6">
      <c r="A151" s="20">
        <v>44682</v>
      </c>
      <c r="B151" s="21">
        <v>659847</v>
      </c>
      <c r="C151" s="22" cm="1">
        <f t="array" ref="C151">IF(ROW()&lt;14,"",IFERROR(B151/INDEX($B:$B,ROW()-12)-1,""))</f>
        <v>9.0148063216814567E-2</v>
      </c>
      <c r="D151" s="22" cm="1">
        <f t="array" ref="D151">IF(ROW()&lt;3,"NA",IFERROR(B151/INDEX($B:$B,ROW()-1)-1,"NA"))</f>
        <v>-5.2560308030669134E-4</v>
      </c>
      <c r="E151" s="22" cm="1">
        <f t="array" ref="E151">IF(ROW()&lt;5,"NA",IFERROR(B151/INDEX($B:$B,ROW()-3)-1,"NA"))</f>
        <v>3.4079244508314455E-2</v>
      </c>
      <c r="F151" s="23">
        <f t="shared" si="2"/>
        <v>1.2465231348755217</v>
      </c>
    </row>
    <row r="152" spans="1:6">
      <c r="A152" s="20">
        <v>44713</v>
      </c>
      <c r="B152" s="21">
        <v>666113</v>
      </c>
      <c r="C152" s="22" cm="1">
        <f t="array" ref="C152">IF(ROW()&lt;14,"",IFERROR(B152/INDEX($B:$B,ROW()-12)-1,""))</f>
        <v>8.8508865103358092E-2</v>
      </c>
      <c r="D152" s="22" cm="1">
        <f t="array" ref="D152">IF(ROW()&lt;3,"NA",IFERROR(B152/INDEX($B:$B,ROW()-1)-1,"NA"))</f>
        <v>9.4961407720275393E-3</v>
      </c>
      <c r="E152" s="22" cm="1">
        <f t="array" ref="E152">IF(ROW()&lt;5,"NA",IFERROR(B152/INDEX($B:$B,ROW()-3)-1,"NA"))</f>
        <v>2.3172618032738956E-2</v>
      </c>
      <c r="F152" s="23">
        <f t="shared" si="2"/>
        <v>1.2988876663064342</v>
      </c>
    </row>
    <row r="153" spans="1:6">
      <c r="A153" s="20">
        <v>44743</v>
      </c>
      <c r="B153" s="21">
        <v>659550</v>
      </c>
      <c r="C153" s="22" cm="1">
        <f t="array" ref="C153">IF(ROW()&lt;14,"",IFERROR(B153/INDEX($B:$B,ROW()-12)-1,""))</f>
        <v>9.5931155151815162E-2</v>
      </c>
      <c r="D153" s="22" cm="1">
        <f t="array" ref="D153">IF(ROW()&lt;3,"NA",IFERROR(B153/INDEX($B:$B,ROW()-1)-1,"NA"))</f>
        <v>-9.8526826529432565E-3</v>
      </c>
      <c r="E153" s="22" cm="1">
        <f t="array" ref="E153">IF(ROW()&lt;5,"NA",IFERROR(B153/INDEX($B:$B,ROW()-3)-1,"NA"))</f>
        <v>-9.7547084644811211E-4</v>
      </c>
      <c r="F153" s="23">
        <f t="shared" si="2"/>
        <v>1.2440411262839191</v>
      </c>
    </row>
    <row r="154" spans="1:6">
      <c r="A154" s="20">
        <v>44774</v>
      </c>
      <c r="B154" s="21">
        <v>663566</v>
      </c>
      <c r="C154" s="22" cm="1">
        <f t="array" ref="C154">IF(ROW()&lt;14,"",IFERROR(B154/INDEX($B:$B,ROW()-12)-1,""))</f>
        <v>9.5837881667885982E-2</v>
      </c>
      <c r="D154" s="22" cm="1">
        <f t="array" ref="D154">IF(ROW()&lt;3,"NA",IFERROR(B154/INDEX($B:$B,ROW()-1)-1,"NA"))</f>
        <v>6.0890000758093699E-3</v>
      </c>
      <c r="E154" s="22" cm="1">
        <f t="array" ref="E154">IF(ROW()&lt;5,"NA",IFERROR(B154/INDEX($B:$B,ROW()-3)-1,"NA"))</f>
        <v>5.6361550480641398E-3</v>
      </c>
      <c r="F154" s="23">
        <f t="shared" si="2"/>
        <v>1.277602562323904</v>
      </c>
    </row>
    <row r="155" spans="1:6">
      <c r="A155" s="20">
        <v>44805</v>
      </c>
      <c r="B155" s="21">
        <v>661854</v>
      </c>
      <c r="C155" s="22" cm="1">
        <f t="array" ref="C155">IF(ROW()&lt;14,"",IFERROR(B155/INDEX($B:$B,ROW()-12)-1,""))</f>
        <v>8.5592065228623282E-2</v>
      </c>
      <c r="D155" s="22" cm="1">
        <f t="array" ref="D155">IF(ROW()&lt;3,"NA",IFERROR(B155/INDEX($B:$B,ROW()-1)-1,"NA"))</f>
        <v>-2.5799995780374507E-3</v>
      </c>
      <c r="E155" s="22" cm="1">
        <f t="array" ref="E155">IF(ROW()&lt;5,"NA",IFERROR(B155/INDEX($B:$B,ROW()-3)-1,"NA"))</f>
        <v>-6.3938100592542124E-3</v>
      </c>
      <c r="F155" s="23">
        <f t="shared" si="2"/>
        <v>1.2632954959642291</v>
      </c>
    </row>
    <row r="156" spans="1:6">
      <c r="A156" s="20">
        <v>44835</v>
      </c>
      <c r="B156" s="21">
        <v>668671</v>
      </c>
      <c r="C156" s="22" cm="1">
        <f t="array" ref="C156">IF(ROW()&lt;14,"",IFERROR(B156/INDEX($B:$B,ROW()-12)-1,""))</f>
        <v>8.0989632589847815E-2</v>
      </c>
      <c r="D156" s="22" cm="1">
        <f t="array" ref="D156">IF(ROW()&lt;3,"NA",IFERROR(B156/INDEX($B:$B,ROW()-1)-1,"NA"))</f>
        <v>1.0299854650723583E-2</v>
      </c>
      <c r="E156" s="22" cm="1">
        <f t="array" ref="E156">IF(ROW()&lt;5,"NA",IFERROR(B156/INDEX($B:$B,ROW()-3)-1,"NA"))</f>
        <v>1.3829125919187391E-2</v>
      </c>
      <c r="F156" s="23">
        <f t="shared" si="2"/>
        <v>1.320264696533098</v>
      </c>
    </row>
    <row r="157" spans="1:6">
      <c r="A157" s="20">
        <v>44866</v>
      </c>
      <c r="B157" s="21">
        <v>659458</v>
      </c>
      <c r="C157" s="22" cm="1">
        <f t="array" ref="C157">IF(ROW()&lt;14,"",IFERROR(B157/INDEX($B:$B,ROW()-12)-1,""))</f>
        <v>5.534555766442506E-2</v>
      </c>
      <c r="D157" s="22" cm="1">
        <f t="array" ref="D157">IF(ROW()&lt;3,"NA",IFERROR(B157/INDEX($B:$B,ROW()-1)-1,"NA"))</f>
        <v>-1.3778076213863066E-2</v>
      </c>
      <c r="E157" s="22" cm="1">
        <f t="array" ref="E157">IF(ROW()&lt;5,"NA",IFERROR(B157/INDEX($B:$B,ROW()-3)-1,"NA"))</f>
        <v>-6.1907933800103843E-3</v>
      </c>
      <c r="F157" s="23">
        <f t="shared" si="2"/>
        <v>1.2432722886057124</v>
      </c>
    </row>
    <row r="158" spans="1:6">
      <c r="A158" s="20">
        <v>44896</v>
      </c>
      <c r="B158" s="21">
        <v>651763</v>
      </c>
      <c r="C158" s="22" cm="1">
        <f t="array" ref="C158">IF(ROW()&lt;14,"",IFERROR(B158/INDEX($B:$B,ROW()-12)-1,""))</f>
        <v>5.1335778739164173E-2</v>
      </c>
      <c r="D158" s="22" cm="1">
        <f t="array" ref="D158">IF(ROW()&lt;3,"NA",IFERROR(B158/INDEX($B:$B,ROW()-1)-1,"NA"))</f>
        <v>-1.1668673365096804E-2</v>
      </c>
      <c r="E158" s="22" cm="1">
        <f t="array" ref="E158">IF(ROW()&lt;5,"NA",IFERROR(B158/INDEX($B:$B,ROW()-3)-1,"NA"))</f>
        <v>-1.5246564952391295E-2</v>
      </c>
      <c r="F158" s="23">
        <f t="shared" si="2"/>
        <v>1.1789657023687392</v>
      </c>
    </row>
    <row r="159" spans="1:6">
      <c r="A159" s="20">
        <v>44927</v>
      </c>
      <c r="B159" s="21">
        <v>680253</v>
      </c>
      <c r="C159" s="22" cm="1">
        <f t="array" ref="C159">IF(ROW()&lt;14,"",IFERROR(B159/INDEX($B:$B,ROW()-12)-1,""))</f>
        <v>7.7186548410236533E-2</v>
      </c>
      <c r="D159" s="22" cm="1">
        <f t="array" ref="D159">IF(ROW()&lt;3,"NA",IFERROR(B159/INDEX($B:$B,ROW()-1)-1,"NA"))</f>
        <v>4.3712208272025155E-2</v>
      </c>
      <c r="E159" s="22" cm="1">
        <f t="array" ref="E159">IF(ROW()&lt;5,"NA",IFERROR(B159/INDEX($B:$B,ROW()-3)-1,"NA"))</f>
        <v>1.7320924640069624E-2</v>
      </c>
      <c r="F159" s="23">
        <f t="shared" si="2"/>
        <v>1.4170546746743091</v>
      </c>
    </row>
    <row r="160" spans="1:6">
      <c r="A160" s="20">
        <v>44958</v>
      </c>
      <c r="B160" s="21">
        <v>672152</v>
      </c>
      <c r="C160" s="22" cm="1">
        <f t="array" ref="C160">IF(ROW()&lt;14,"",IFERROR(B160/INDEX($B:$B,ROW()-12)-1,""))</f>
        <v>5.3363025602529923E-2</v>
      </c>
      <c r="D160" s="22" cm="1">
        <f t="array" ref="D160">IF(ROW()&lt;3,"NA",IFERROR(B160/INDEX($B:$B,ROW()-1)-1,"NA"))</f>
        <v>-1.1908804518318883E-2</v>
      </c>
      <c r="E160" s="22" cm="1">
        <f t="array" ref="E160">IF(ROW()&lt;5,"NA",IFERROR(B160/INDEX($B:$B,ROW()-3)-1,"NA"))</f>
        <v>1.9249140961213662E-2</v>
      </c>
      <c r="F160" s="23">
        <f t="shared" si="2"/>
        <v>1.3493551743356844</v>
      </c>
    </row>
    <row r="161" spans="1:6">
      <c r="A161" s="20">
        <v>44986</v>
      </c>
      <c r="B161" s="21">
        <v>665071</v>
      </c>
      <c r="C161" s="22" cm="1">
        <f t="array" ref="C161">IF(ROW()&lt;14,"",IFERROR(B161/INDEX($B:$B,ROW()-12)-1,""))</f>
        <v>2.1572069975592356E-2</v>
      </c>
      <c r="D161" s="22" cm="1">
        <f t="array" ref="D161">IF(ROW()&lt;3,"NA",IFERROR(B161/INDEX($B:$B,ROW()-1)-1,"NA"))</f>
        <v>-1.0534819505111925E-2</v>
      </c>
      <c r="E161" s="22" cm="1">
        <f t="array" ref="E161">IF(ROW()&lt;5,"NA",IFERROR(B161/INDEX($B:$B,ROW()-3)-1,"NA"))</f>
        <v>2.0418464994177432E-2</v>
      </c>
      <c r="F161" s="23">
        <f t="shared" si="2"/>
        <v>1.2901797439076135</v>
      </c>
    </row>
    <row r="162" spans="1:6">
      <c r="A162" s="20">
        <v>45017</v>
      </c>
      <c r="B162" s="21">
        <v>670494</v>
      </c>
      <c r="C162" s="22" cm="1">
        <f t="array" ref="C162">IF(ROW()&lt;14,"",IFERROR(B162/INDEX($B:$B,ROW()-12)-1,""))</f>
        <v>1.5601474718037522E-2</v>
      </c>
      <c r="D162" s="22" cm="1">
        <f t="array" ref="D162">IF(ROW()&lt;3,"NA",IFERROR(B162/INDEX($B:$B,ROW()-1)-1,"NA"))</f>
        <v>8.1540166388249791E-3</v>
      </c>
      <c r="E162" s="22" cm="1">
        <f t="array" ref="E162">IF(ROW()&lt;5,"NA",IFERROR(B162/INDEX($B:$B,ROW()-3)-1,"NA"))</f>
        <v>-1.4346132982875459E-2</v>
      </c>
      <c r="F162" s="23">
        <f t="shared" si="2"/>
        <v>1.3354993822653918</v>
      </c>
    </row>
    <row r="163" spans="1:6">
      <c r="A163" s="20">
        <v>45047</v>
      </c>
      <c r="B163" s="21">
        <v>673902</v>
      </c>
      <c r="C163" s="22" cm="1">
        <f t="array" ref="C163">IF(ROW()&lt;14,"",IFERROR(B163/INDEX($B:$B,ROW()-12)-1,""))</f>
        <v>2.1300392363684306E-2</v>
      </c>
      <c r="D163" s="22" cm="1">
        <f t="array" ref="D163">IF(ROW()&lt;3,"NA",IFERROR(B163/INDEX($B:$B,ROW()-1)-1,"NA"))</f>
        <v>5.0828195330607784E-3</v>
      </c>
      <c r="E163" s="22" cm="1">
        <f t="array" ref="E163">IF(ROW()&lt;5,"NA",IFERROR(B163/INDEX($B:$B,ROW()-3)-1,"NA"))</f>
        <v>2.6035777621729039E-3</v>
      </c>
      <c r="F163" s="23">
        <f t="shared" si="2"/>
        <v>1.3639798040841837</v>
      </c>
    </row>
    <row r="164" spans="1:6">
      <c r="A164" s="20">
        <v>45078</v>
      </c>
      <c r="B164" s="21">
        <v>677117</v>
      </c>
      <c r="C164" s="22" cm="1">
        <f t="array" ref="C164">IF(ROW()&lt;14,"",IFERROR(B164/INDEX($B:$B,ROW()-12)-1,""))</f>
        <v>1.6519719627150264E-2</v>
      </c>
      <c r="D164" s="22" cm="1">
        <f t="array" ref="D164">IF(ROW()&lt;3,"NA",IFERROR(B164/INDEX($B:$B,ROW()-1)-1,"NA"))</f>
        <v>4.7707233395952731E-3</v>
      </c>
      <c r="E164" s="22" cm="1">
        <f t="array" ref="E164">IF(ROW()&lt;5,"NA",IFERROR(B164/INDEX($B:$B,ROW()-3)-1,"NA"))</f>
        <v>1.8112351914306934E-2</v>
      </c>
      <c r="F164" s="23">
        <f t="shared" si="2"/>
        <v>1.3908473381649984</v>
      </c>
    </row>
    <row r="165" spans="1:6">
      <c r="A165" s="20">
        <v>45108</v>
      </c>
      <c r="B165" s="21">
        <v>678424</v>
      </c>
      <c r="C165" s="22" cm="1">
        <f t="array" ref="C165">IF(ROW()&lt;14,"",IFERROR(B165/INDEX($B:$B,ROW()-12)-1,""))</f>
        <v>2.8616480933970179E-2</v>
      </c>
      <c r="D165" s="22" cm="1">
        <f t="array" ref="D165">IF(ROW()&lt;3,"NA",IFERROR(B165/INDEX($B:$B,ROW()-1)-1,"NA"))</f>
        <v>1.9302424839429122E-3</v>
      </c>
      <c r="E165" s="22" cm="1">
        <f t="array" ref="E165">IF(ROW()&lt;5,"NA",IFERROR(B165/INDEX($B:$B,ROW()-3)-1,"NA"))</f>
        <v>1.1827100615367181E-2</v>
      </c>
      <c r="F165" s="23">
        <f t="shared" si="2"/>
        <v>1.4017698473543061</v>
      </c>
    </row>
    <row r="166" spans="1:6">
      <c r="A166" s="20">
        <v>45139</v>
      </c>
      <c r="B166" s="21">
        <v>684755</v>
      </c>
      <c r="C166" s="22" cm="1">
        <f t="array" ref="C166">IF(ROW()&lt;14,"",IFERROR(B166/INDEX($B:$B,ROW()-12)-1,""))</f>
        <v>3.1932015805511416E-2</v>
      </c>
      <c r="D166" s="22" cm="1">
        <f t="array" ref="D166">IF(ROW()&lt;3,"NA",IFERROR(B166/INDEX($B:$B,ROW()-1)-1,"NA"))</f>
        <v>9.33192221973278E-3</v>
      </c>
      <c r="E166" s="22" cm="1">
        <f t="array" ref="E166">IF(ROW()&lt;5,"NA",IFERROR(B166/INDEX($B:$B,ROW()-3)-1,"NA"))</f>
        <v>1.6104715522434976E-2</v>
      </c>
      <c r="F166" s="23">
        <f t="shared" si="2"/>
        <v>1.4546775793187345</v>
      </c>
    </row>
    <row r="167" spans="1:6">
      <c r="A167" s="20">
        <v>45170</v>
      </c>
      <c r="B167" s="21">
        <v>689403</v>
      </c>
      <c r="C167" s="22" cm="1">
        <f t="array" ref="C167">IF(ROW()&lt;14,"",IFERROR(B167/INDEX($B:$B,ROW()-12)-1,""))</f>
        <v>4.1623983537154796E-2</v>
      </c>
      <c r="D167" s="22" cm="1">
        <f t="array" ref="D167">IF(ROW()&lt;3,"NA",IFERROR(B167/INDEX($B:$B,ROW()-1)-1,"NA"))</f>
        <v>6.787829223591002E-3</v>
      </c>
      <c r="E167" s="22" cm="1">
        <f t="array" ref="E167">IF(ROW()&lt;5,"NA",IFERROR(B167/INDEX($B:$B,ROW()-3)-1,"NA"))</f>
        <v>1.8144574718992335E-2</v>
      </c>
      <c r="F167" s="23">
        <f t="shared" si="2"/>
        <v>1.4935205959307487</v>
      </c>
    </row>
    <row r="168" spans="1:6">
      <c r="A168" s="20">
        <v>45200</v>
      </c>
      <c r="B168" s="21">
        <v>686148</v>
      </c>
      <c r="C168" s="22" cm="1">
        <f t="array" ref="C168">IF(ROW()&lt;14,"",IFERROR(B168/INDEX($B:$B,ROW()-12)-1,""))</f>
        <v>2.6136919351968269E-2</v>
      </c>
      <c r="D168" s="22" cm="1">
        <f t="array" ref="D168">IF(ROW()&lt;3,"NA",IFERROR(B168/INDEX($B:$B,ROW()-1)-1,"NA"))</f>
        <v>-4.7214764078484794E-3</v>
      </c>
      <c r="E168" s="22" cm="1">
        <f t="array" ref="E168">IF(ROW()&lt;5,"NA",IFERROR(B168/INDEX($B:$B,ROW()-3)-1,"NA"))</f>
        <v>1.1385210428876302E-2</v>
      </c>
      <c r="F168" s="23">
        <f t="shared" si="2"/>
        <v>1.4663187845985399</v>
      </c>
    </row>
    <row r="169" spans="1:6">
      <c r="A169" s="20">
        <v>45231</v>
      </c>
      <c r="B169" s="21">
        <v>685328</v>
      </c>
      <c r="C169" s="22" cm="1">
        <f t="array" ref="C169">IF(ROW()&lt;14,"",IFERROR(B169/INDEX($B:$B,ROW()-12)-1,""))</f>
        <v>3.9229185179344261E-2</v>
      </c>
      <c r="D169" s="22" cm="1">
        <f t="array" ref="D169">IF(ROW()&lt;3,"NA",IFERROR(B169/INDEX($B:$B,ROW()-1)-1,"NA"))</f>
        <v>-1.1950774468482139E-3</v>
      </c>
      <c r="E169" s="22" cm="1">
        <f t="array" ref="E169">IF(ROW()&lt;5,"NA",IFERROR(B169/INDEX($B:$B,ROW()-3)-1,"NA"))</f>
        <v>8.3679564223704261E-4</v>
      </c>
      <c r="F169" s="23">
        <f t="shared" si="2"/>
        <v>1.4594661009449574</v>
      </c>
    </row>
    <row r="170" spans="1:6">
      <c r="A170" s="20">
        <v>45261</v>
      </c>
      <c r="B170" s="21">
        <v>686277</v>
      </c>
      <c r="C170" s="22" cm="1">
        <f t="array" ref="C170">IF(ROW()&lt;14,"",IFERROR(B170/INDEX($B:$B,ROW()-12)-1,""))</f>
        <v>5.2954831740985586E-2</v>
      </c>
      <c r="D170" s="22" cm="1">
        <f t="array" ref="D170">IF(ROW()&lt;3,"NA",IFERROR(B170/INDEX($B:$B,ROW()-1)-1,"NA"))</f>
        <v>1.3847384026335341E-3</v>
      </c>
      <c r="E170" s="22" cm="1">
        <f t="array" ref="E170">IF(ROW()&lt;5,"NA",IFERROR(B170/INDEX($B:$B,ROW()-3)-1,"NA"))</f>
        <v>-4.5343579879982832E-3</v>
      </c>
      <c r="F170" s="23">
        <f t="shared" si="2"/>
        <v>1.4673968287342865</v>
      </c>
    </row>
    <row r="171" spans="1:6">
      <c r="A171" s="20">
        <v>45292</v>
      </c>
      <c r="B171" s="21">
        <v>680456</v>
      </c>
      <c r="C171" s="22" cm="1">
        <f t="array" ref="C171">IF(ROW()&lt;14,"",IFERROR(B171/INDEX($B:$B,ROW()-12)-1,""))</f>
        <v>2.9841838257227415E-4</v>
      </c>
      <c r="D171" s="22" cm="1">
        <f t="array" ref="D171">IF(ROW()&lt;3,"NA",IFERROR(B171/INDEX($B:$B,ROW()-1)-1,"NA"))</f>
        <v>-8.4819977938936919E-3</v>
      </c>
      <c r="E171" s="22" cm="1">
        <f t="array" ref="E171">IF(ROW()&lt;5,"NA",IFERROR(B171/INDEX($B:$B,ROW()-3)-1,"NA"))</f>
        <v>-8.2955863749512027E-3</v>
      </c>
      <c r="F171" s="23">
        <f t="shared" si="2"/>
        <v>1.4187511317251351</v>
      </c>
    </row>
    <row r="172" spans="1:6">
      <c r="A172" s="20">
        <v>45323</v>
      </c>
      <c r="B172" s="21">
        <v>685280</v>
      </c>
      <c r="C172" s="22" cm="1">
        <f t="array" ref="C172">IF(ROW()&lt;14,"",IFERROR(B172/INDEX($B:$B,ROW()-12)-1,""))</f>
        <v>1.9531296492460104E-2</v>
      </c>
      <c r="D172" s="22" cm="1">
        <f t="array" ref="D172">IF(ROW()&lt;3,"NA",IFERROR(B172/INDEX($B:$B,ROW()-1)-1,"NA"))</f>
        <v>7.0893636032307583E-3</v>
      </c>
      <c r="E172" s="22" cm="1">
        <f t="array" ref="E172">IF(ROW()&lt;5,"NA",IFERROR(B172/INDEX($B:$B,ROW()-3)-1,"NA"))</f>
        <v>-7.0039455559944841E-5</v>
      </c>
      <c r="F172" s="23">
        <f t="shared" si="2"/>
        <v>1.4590649682432844</v>
      </c>
    </row>
    <row r="173" spans="1:6">
      <c r="A173" s="20">
        <v>45352</v>
      </c>
      <c r="B173" s="21">
        <v>687641</v>
      </c>
      <c r="C173" s="22" cm="1">
        <f t="array" ref="C173">IF(ROW()&lt;14,"",IFERROR(B173/INDEX($B:$B,ROW()-12)-1,""))</f>
        <v>3.3936226357787369E-2</v>
      </c>
      <c r="D173" s="22" cm="1">
        <f t="array" ref="D173">IF(ROW()&lt;3,"NA",IFERROR(B173/INDEX($B:$B,ROW()-1)-1,"NA"))</f>
        <v>3.4453070277842279E-3</v>
      </c>
      <c r="E173" s="22" cm="1">
        <f t="array" ref="E173">IF(ROW()&lt;5,"NA",IFERROR(B173/INDEX($B:$B,ROW()-3)-1,"NA"))</f>
        <v>1.9875356452279114E-3</v>
      </c>
      <c r="F173" s="23">
        <f t="shared" si="2"/>
        <v>1.4787956830068312</v>
      </c>
    </row>
    <row r="174" spans="1:6">
      <c r="A174" s="20">
        <v>45383</v>
      </c>
      <c r="B174" s="21">
        <v>687602</v>
      </c>
      <c r="C174" s="22" cm="1">
        <f t="array" ref="C174">IF(ROW()&lt;14,"",IFERROR(B174/INDEX($B:$B,ROW()-12)-1,""))</f>
        <v>2.5515515425939661E-2</v>
      </c>
      <c r="D174" s="22" cm="1">
        <f t="array" ref="D174">IF(ROW()&lt;3,"NA",IFERROR(B174/INDEX($B:$B,ROW()-1)-1,"NA"))</f>
        <v>-5.6715640864957173E-5</v>
      </c>
      <c r="E174" s="22" cm="1">
        <f t="array" ref="E174">IF(ROW()&lt;5,"NA",IFERROR(B174/INDEX($B:$B,ROW()-3)-1,"NA"))</f>
        <v>1.0501781158517298E-2</v>
      </c>
      <c r="F174" s="23">
        <f t="shared" si="2"/>
        <v>1.4784697626867218</v>
      </c>
    </row>
    <row r="175" spans="1:6">
      <c r="A175" s="20">
        <v>45413</v>
      </c>
      <c r="B175" s="21">
        <v>692774</v>
      </c>
      <c r="C175" s="22" cm="1">
        <f t="array" ref="C175">IF(ROW()&lt;14,"",IFERROR(B175/INDEX($B:$B,ROW()-12)-1,""))</f>
        <v>2.8004071808660713E-2</v>
      </c>
      <c r="D175" s="22" cm="1">
        <f t="array" ref="D175">IF(ROW()&lt;3,"NA",IFERROR(B175/INDEX($B:$B,ROW()-1)-1,"NA"))</f>
        <v>7.5217931303281915E-3</v>
      </c>
      <c r="E175" s="22" cm="1">
        <f t="array" ref="E175">IF(ROW()&lt;5,"NA",IFERROR(B175/INDEX($B:$B,ROW()-3)-1,"NA"))</f>
        <v>1.0935675928087862E-2</v>
      </c>
      <c r="F175" s="23">
        <f t="shared" si="2"/>
        <v>1.521691811292001</v>
      </c>
    </row>
    <row r="176" spans="1:6">
      <c r="A176" s="20">
        <v>45444</v>
      </c>
      <c r="B176" s="21">
        <v>692449</v>
      </c>
      <c r="C176" s="22" cm="1">
        <f t="array" ref="C176">IF(ROW()&lt;14,"",IFERROR(B176/INDEX($B:$B,ROW()-12)-1,""))</f>
        <v>2.2643058732833454E-2</v>
      </c>
      <c r="D176" s="22" cm="1">
        <f t="array" ref="D176">IF(ROW()&lt;3,"NA",IFERROR(B176/INDEX($B:$B,ROW()-1)-1,"NA"))</f>
        <v>-4.6912846036373246E-4</v>
      </c>
      <c r="E176" s="22" cm="1">
        <f t="array" ref="E176">IF(ROW()&lt;5,"NA",IFERROR(B176/INDEX($B:$B,ROW()-3)-1,"NA"))</f>
        <v>6.9920205456044382E-3</v>
      </c>
      <c r="F176" s="23">
        <f t="shared" si="2"/>
        <v>1.5189758086244225</v>
      </c>
    </row>
    <row r="177" spans="1:6">
      <c r="A177" s="20">
        <v>45474</v>
      </c>
      <c r="B177" s="21">
        <v>698835</v>
      </c>
      <c r="C177" s="22" cm="1">
        <f t="array" ref="C177">IF(ROW()&lt;14,"",IFERROR(B177/INDEX($B:$B,ROW()-12)-1,""))</f>
        <v>3.008590497977659E-2</v>
      </c>
      <c r="D177" s="22" cm="1">
        <f t="array" ref="D177">IF(ROW()&lt;3,"NA",IFERROR(B177/INDEX($B:$B,ROW()-1)-1,"NA"))</f>
        <v>9.2223398401904966E-3</v>
      </c>
      <c r="E177" s="22" cm="1">
        <f t="array" ref="E177">IF(ROW()&lt;5,"NA",IFERROR(B177/INDEX($B:$B,ROW()-3)-1,"NA"))</f>
        <v>1.6336485350537E-2</v>
      </c>
      <c r="F177" s="23">
        <f t="shared" si="2"/>
        <v>1.572343171809518</v>
      </c>
    </row>
    <row r="178" spans="1:6">
      <c r="A178" s="20">
        <v>45505</v>
      </c>
      <c r="B178" s="21">
        <v>697039</v>
      </c>
      <c r="C178" s="22" cm="1">
        <f t="array" ref="C178">IF(ROW()&lt;14,"",IFERROR(B178/INDEX($B:$B,ROW()-12)-1,""))</f>
        <v>1.7939262948061696E-2</v>
      </c>
      <c r="D178" s="22" cm="1">
        <f t="array" ref="D178">IF(ROW()&lt;3,"NA",IFERROR(B178/INDEX($B:$B,ROW()-1)-1,"NA"))</f>
        <v>-2.5699914858300366E-3</v>
      </c>
      <c r="E178" s="22" cm="1">
        <f t="array" ref="E178">IF(ROW()&lt;5,"NA",IFERROR(B178/INDEX($B:$B,ROW()-3)-1,"NA"))</f>
        <v>6.156408872157515E-3</v>
      </c>
      <c r="F178" s="23">
        <f t="shared" si="2"/>
        <v>1.5573341232219153</v>
      </c>
    </row>
    <row r="179" spans="1:6">
      <c r="A179" s="20">
        <v>45536</v>
      </c>
      <c r="B179" s="21">
        <v>703055</v>
      </c>
      <c r="C179" s="22" cm="1">
        <f t="array" ref="C179">IF(ROW()&lt;14,"",IFERROR(B179/INDEX($B:$B,ROW()-12)-1,""))</f>
        <v>1.9802640835621554E-2</v>
      </c>
      <c r="D179" s="22" cm="1">
        <f t="array" ref="D179">IF(ROW()&lt;3,"NA",IFERROR(B179/INDEX($B:$B,ROW()-1)-1,"NA"))</f>
        <v>8.6307939727905403E-3</v>
      </c>
      <c r="E179" s="22" cm="1">
        <f t="array" ref="E179">IF(ROW()&lt;5,"NA",IFERROR(B179/INDEX($B:$B,ROW()-3)-1,"NA"))</f>
        <v>1.5316651479025944E-2</v>
      </c>
      <c r="F179" s="23">
        <f t="shared" si="2"/>
        <v>1.6076094218316137</v>
      </c>
    </row>
    <row r="180" spans="1:6">
      <c r="A180" s="20">
        <v>45566</v>
      </c>
      <c r="B180" s="21">
        <v>708290</v>
      </c>
      <c r="C180" s="22" cm="1">
        <f t="array" ref="C180">IF(ROW()&lt;14,"",IFERROR(B180/INDEX($B:$B,ROW()-12)-1,""))</f>
        <v>3.2270005887942599E-2</v>
      </c>
      <c r="D180" s="22" cm="1">
        <f t="array" ref="D180">IF(ROW()&lt;3,"NA",IFERROR(B180/INDEX($B:$B,ROW()-1)-1,"NA"))</f>
        <v>7.4460746314299886E-3</v>
      </c>
      <c r="E180" s="22" cm="1">
        <f t="array" ref="E180">IF(ROW()&lt;5,"NA",IFERROR(B180/INDEX($B:$B,ROW()-3)-1,"NA"))</f>
        <v>1.3529660077128414E-2</v>
      </c>
      <c r="F180" s="23">
        <f t="shared" si="2"/>
        <v>1.6513579571078389</v>
      </c>
    </row>
    <row r="181" spans="1:6">
      <c r="A181" s="20">
        <v>45597</v>
      </c>
      <c r="B181" s="21">
        <v>711853</v>
      </c>
      <c r="C181" s="22" cm="1">
        <f t="array" ref="C181">IF(ROW()&lt;14,"",IFERROR(B181/INDEX($B:$B,ROW()-12)-1,""))</f>
        <v>3.8704094973501801E-2</v>
      </c>
      <c r="D181" s="22" cm="1">
        <f t="array" ref="D181">IF(ROW()&lt;3,"NA",IFERROR(B181/INDEX($B:$B,ROW()-1)-1,"NA"))</f>
        <v>5.0304253907298424E-3</v>
      </c>
      <c r="E181" s="22" cm="1">
        <f t="array" ref="E181">IF(ROW()&lt;5,"NA",IFERROR(B181/INDEX($B:$B,ROW()-3)-1,"NA"))</f>
        <v>2.1252756302014619E-2</v>
      </c>
      <c r="F181" s="23">
        <f t="shared" si="2"/>
        <v>1.6811337032757836</v>
      </c>
    </row>
    <row r="182" spans="1:6">
      <c r="A182" s="20">
        <v>45627</v>
      </c>
      <c r="B182" s="21">
        <v>717547</v>
      </c>
      <c r="C182" s="22" cm="1">
        <f t="array" ref="C182">IF(ROW()&lt;14,"",IFERROR(B182/INDEX($B:$B,ROW()-12)-1,""))</f>
        <v>4.5564691808118285E-2</v>
      </c>
      <c r="D182" s="22" cm="1">
        <f t="array" ref="D182">IF(ROW()&lt;3,"NA",IFERROR(B182/INDEX($B:$B,ROW()-1)-1,"NA"))</f>
        <v>7.9988424576422634E-3</v>
      </c>
      <c r="E182" s="22" cm="1">
        <f t="array" ref="E182">IF(ROW()&lt;5,"NA",IFERROR(B182/INDEX($B:$B,ROW()-3)-1,"NA"))</f>
        <v>2.0612896572814288E-2</v>
      </c>
      <c r="F182" s="23">
        <f t="shared" si="2"/>
        <v>1.7287180700117581</v>
      </c>
    </row>
    <row r="183" spans="1:6">
      <c r="A183" s="20">
        <v>45658</v>
      </c>
      <c r="B183" s="21">
        <v>711461</v>
      </c>
      <c r="C183" s="22" cm="1">
        <f t="array" ref="C183">IF(ROW()&lt;14,"",IFERROR(B183/INDEX($B:$B,ROW()-12)-1,""))</f>
        <v>4.5565032860317212E-2</v>
      </c>
      <c r="D183" s="22" cm="1">
        <f t="array" ref="D183">IF(ROW()&lt;3,"NA",IFERROR(B183/INDEX($B:$B,ROW()-1)-1,"NA"))</f>
        <v>-8.4816743711562115E-3</v>
      </c>
      <c r="E183" s="22" cm="1">
        <f t="array" ref="E183">IF(ROW()&lt;5,"NA",IFERROR(B183/INDEX($B:$B,ROW()-3)-1,"NA"))</f>
        <v>4.4769797681740719E-3</v>
      </c>
      <c r="F183" s="23">
        <f t="shared" si="2"/>
        <v>1.6778577862121198</v>
      </c>
    </row>
    <row r="184" spans="1:6">
      <c r="A184" s="20">
        <v>45689</v>
      </c>
      <c r="B184" s="21">
        <v>711757</v>
      </c>
      <c r="C184" s="22" cm="1">
        <f t="array" ref="C184">IF(ROW()&lt;14,"",IFERROR(B184/INDEX($B:$B,ROW()-12)-1,""))</f>
        <v>3.8636761615689963E-2</v>
      </c>
      <c r="D184" s="22" cm="1">
        <f t="array" ref="D184">IF(ROW()&lt;3,"NA",IFERROR(B184/INDEX($B:$B,ROW()-1)-1,"NA"))</f>
        <v>4.1604529271466184E-4</v>
      </c>
      <c r="E184" s="22" cm="1">
        <f t="array" ref="E184">IF(ROW()&lt;5,"NA",IFERROR(B184/INDEX($B:$B,ROW()-3)-1,"NA"))</f>
        <v>-1.3485930381695876E-4</v>
      </c>
      <c r="F184" s="23">
        <f t="shared" si="2"/>
        <v>1.6803314378724374</v>
      </c>
    </row>
    <row r="185" spans="1:6">
      <c r="A185" s="20">
        <v>45717</v>
      </c>
      <c r="B185" s="21">
        <v>722572</v>
      </c>
      <c r="C185" s="22" cm="1">
        <f t="array" ref="C185">IF(ROW()&lt;14,"",IFERROR(B185/INDEX($B:$B,ROW()-12)-1,""))</f>
        <v>5.0798309001353958E-2</v>
      </c>
      <c r="D185" s="22" cm="1">
        <f t="array" ref="D185">IF(ROW()&lt;3,"NA",IFERROR(B185/INDEX($B:$B,ROW()-1)-1,"NA"))</f>
        <v>1.5194792604779517E-2</v>
      </c>
      <c r="E185" s="22" cm="1">
        <f t="array" ref="E185">IF(ROW()&lt;5,"NA",IFERROR(B185/INDEX($B:$B,ROW()-3)-1,"NA"))</f>
        <v>7.0030255857804757E-3</v>
      </c>
      <c r="F185" s="23">
        <f t="shared" si="2"/>
        <v>1.7707116497181636</v>
      </c>
    </row>
    <row r="186" spans="1:6">
      <c r="A186" s="20">
        <v>45748</v>
      </c>
      <c r="B186" s="21">
        <v>721789</v>
      </c>
      <c r="C186" s="22" cm="1">
        <f t="array" ref="C186">IF(ROW()&lt;14,"",IFERROR(B186/INDEX($B:$B,ROW()-12)-1,""))</f>
        <v>4.9719168937844893E-2</v>
      </c>
      <c r="D186" s="22" cm="1">
        <f t="array" ref="D186">IF(ROW()&lt;3,"NA",IFERROR(B186/INDEX($B:$B,ROW()-1)-1,"NA"))</f>
        <v>-1.0836290362760126E-3</v>
      </c>
      <c r="E186" s="22" cm="1">
        <f t="array" ref="E186">IF(ROW()&lt;5,"NA",IFERROR(B186/INDEX($B:$B,ROW()-3)-1,"NA"))</f>
        <v>1.451660737552718E-2</v>
      </c>
      <c r="F186" s="23">
        <f t="shared" si="2"/>
        <v>1.7641681725221208</v>
      </c>
    </row>
    <row r="187" spans="1:6">
      <c r="A187" s="20">
        <v>45778</v>
      </c>
      <c r="B187" s="21">
        <v>716101</v>
      </c>
      <c r="C187" s="22" cm="1">
        <f t="array" ref="C187">IF(ROW()&lt;14,"",IFERROR(B187/INDEX($B:$B,ROW()-12)-1,""))</f>
        <v>3.3671875676627661E-2</v>
      </c>
      <c r="D187" s="22" cm="1">
        <f t="array" ref="D187">IF(ROW()&lt;3,"NA",IFERROR(B187/INDEX($B:$B,ROW()-1)-1,"NA"))</f>
        <v>-7.8804193469282913E-3</v>
      </c>
      <c r="E187" s="22" cm="1">
        <f t="array" ref="E187">IF(ROW()&lt;5,"NA",IFERROR(B187/INDEX($B:$B,ROW()-3)-1,"NA"))</f>
        <v>6.1032065719057726E-3</v>
      </c>
      <c r="F187" s="23">
        <f t="shared" si="2"/>
        <v>1.7166339473738552</v>
      </c>
    </row>
    <row r="188" spans="1:6">
      <c r="A188" s="20">
        <v>45809</v>
      </c>
      <c r="B188" s="21">
        <v>723033</v>
      </c>
      <c r="C188" s="22" cm="1">
        <f t="array" ref="C188">IF(ROW()&lt;14,"",IFERROR(B188/INDEX($B:$B,ROW()-12)-1,""))</f>
        <v>4.4167873735105445E-2</v>
      </c>
      <c r="D188" s="22" cm="1">
        <f t="array" ref="D188">IF(ROW()&lt;3,"NA",IFERROR(B188/INDEX($B:$B,ROW()-1)-1,"NA"))</f>
        <v>9.6801987429147029E-3</v>
      </c>
      <c r="E188" s="22" cm="1">
        <f t="array" ref="E188">IF(ROW()&lt;5,"NA",IFERROR(B188/INDEX($B:$B,ROW()-3)-1,"NA"))</f>
        <v>6.3799870462744046E-4</v>
      </c>
      <c r="F188" s="23">
        <f t="shared" si="2"/>
        <v>1.7745641950404827</v>
      </c>
    </row>
    <row r="189" spans="1:6">
      <c r="A189" s="20">
        <v>45839</v>
      </c>
      <c r="B189" s="21">
        <v>727727</v>
      </c>
      <c r="C189" s="22" cm="1">
        <f t="array" ref="C189">IF(ROW()&lt;14,"",IFERROR(B189/INDEX($B:$B,ROW()-12)-1,""))</f>
        <v>4.1343092432405415E-2</v>
      </c>
      <c r="D189" s="22" cm="1">
        <f t="array" ref="D189">IF(ROW()&lt;3,"NA",IFERROR(B189/INDEX($B:$B,ROW()-1)-1,"NA"))</f>
        <v>6.4920964879888743E-3</v>
      </c>
      <c r="E189" s="22" cm="1">
        <f t="array" ref="E189">IF(ROW()&lt;5,"NA",IFERROR(B189/INDEX($B:$B,ROW()-3)-1,"NA"))</f>
        <v>8.226780956761548E-3</v>
      </c>
      <c r="F189" s="23">
        <f t="shared" si="2"/>
        <v>1.8137916304916004</v>
      </c>
    </row>
    <row r="190" spans="1:6">
      <c r="A190" s="20">
        <v>45870</v>
      </c>
      <c r="B190" s="21">
        <v>731700</v>
      </c>
      <c r="C190" s="22" cm="1">
        <f t="array" ref="C190">IF(ROW()&lt;14,"",IFERROR(B190/INDEX($B:$B,ROW()-12)-1,""))</f>
        <v>4.9726055500481259E-2</v>
      </c>
      <c r="D190" s="22" cm="1">
        <f t="array" ref="D190">IF(ROW()&lt;3,"NA",IFERROR(B190/INDEX($B:$B,ROW()-1)-1,"NA"))</f>
        <v>5.4594648817483105E-3</v>
      </c>
      <c r="E190" s="22" cm="1">
        <f t="array" ref="E190">IF(ROW()&lt;5,"NA",IFERROR(B190/INDEX($B:$B,ROW()-3)-1,"NA"))</f>
        <v>2.1783240073676824E-2</v>
      </c>
      <c r="F190" s="23">
        <f t="shared" si="2"/>
        <v>1.8469937184863363</v>
      </c>
    </row>
    <row r="191" spans="1:6">
      <c r="A191" s="20">
        <v>45901</v>
      </c>
      <c r="B191" s="21">
        <v>732192</v>
      </c>
      <c r="C191" s="22" cm="1">
        <f t="array" ref="C191">IF(ROW()&lt;14,"",IFERROR(B191/INDEX($B:$B,ROW()-12)-1,""))</f>
        <v>4.1443414811074497E-2</v>
      </c>
      <c r="D191" s="22" cm="1">
        <f t="array" ref="D191">IF(ROW()&lt;3,"NA",IFERROR(B191/INDEX($B:$B,ROW()-1)-1,"NA"))</f>
        <v>6.7240672406732038E-4</v>
      </c>
      <c r="E191" s="22" cm="1">
        <f t="array" ref="E191">IF(ROW()&lt;5,"NA",IFERROR(B191/INDEX($B:$B,ROW()-3)-1,"NA"))</f>
        <v>1.2667471609179692E-2</v>
      </c>
      <c r="F191" s="23">
        <f t="shared" si="2"/>
        <v>1.851105328678486</v>
      </c>
    </row>
    <row r="192" spans="1:6">
      <c r="A192" s="20">
        <v>45931</v>
      </c>
      <c r="B192" s="21">
        <v>731051</v>
      </c>
      <c r="C192" s="22" cm="1">
        <f t="array" ref="C192">IF(ROW()&lt;14,"",IFERROR(B192/INDEX($B:$B,ROW()-12)-1,""))</f>
        <v>3.2135142385181226E-2</v>
      </c>
      <c r="D192" s="22" cm="1">
        <f t="array" ref="D192">IF(ROW()&lt;3,"NA",IFERROR(B192/INDEX($B:$B,ROW()-1)-1,"NA"))</f>
        <v>-1.5583344259428866E-3</v>
      </c>
      <c r="E192" s="22" cm="1">
        <f t="array" ref="E192">IF(ROW()&lt;5,"NA",IFERROR(B192/INDEX($B:$B,ROW()-3)-1,"NA"))</f>
        <v>4.5676469335340641E-3</v>
      </c>
      <c r="F192" s="23">
        <f t="shared" si="2"/>
        <v>1.8415700700824642</v>
      </c>
    </row>
    <row r="193" spans="1:6">
      <c r="A193" s="20">
        <v>45962</v>
      </c>
      <c r="B193" s="21">
        <v>735085</v>
      </c>
      <c r="C193" s="22" cm="1">
        <f t="array" ref="C193">IF(ROW()&lt;14,"",IFERROR(B193/INDEX($B:$B,ROW()-12)-1,""))</f>
        <v>3.2635951523699358E-2</v>
      </c>
      <c r="D193" s="22" cm="1">
        <f t="array" ref="D193">IF(ROW()&lt;3,"NA",IFERROR(B193/INDEX($B:$B,ROW()-1)-1,"NA"))</f>
        <v>5.5180828697314332E-3</v>
      </c>
      <c r="E193" s="22" cm="1">
        <f t="array" ref="E193">IF(ROW()&lt;5,"NA",IFERROR(B193/INDEX($B:$B,ROW()-3)-1,"NA"))</f>
        <v>4.6262129287959475E-3</v>
      </c>
      <c r="F193" s="23">
        <f t="shared" si="2"/>
        <v>1.8752819308855766</v>
      </c>
    </row>
    <row r="194" spans="1:6">
      <c r="A194" s="20">
        <v>45992</v>
      </c>
      <c r="B194" s="21">
        <v>734967</v>
      </c>
      <c r="C194" s="22" cm="1">
        <f t="array" ref="C194">IF(ROW()&lt;14,"",IFERROR(B194/INDEX($B:$B,ROW()-12)-1,""))</f>
        <v>2.4277155364038849E-2</v>
      </c>
      <c r="D194" s="22" cm="1">
        <f t="array" ref="D194">IF(ROW()&lt;3,"NA",IFERROR(B194/INDEX($B:$B,ROW()-1)-1,"NA"))</f>
        <v>-1.6052565349589099E-4</v>
      </c>
      <c r="E194" s="22" cm="1">
        <f t="array" ref="E194">IF(ROW()&lt;5,"NA",IFERROR(B194/INDEX($B:$B,ROW()-3)-1,"NA"))</f>
        <v>3.7899895109478887E-3</v>
      </c>
      <c r="F194" s="23">
        <f t="shared" si="2"/>
        <v>1.8742958129939635</v>
      </c>
    </row>
    <row r="195" spans="1:6">
      <c r="A195" s="20">
        <v>46023</v>
      </c>
      <c r="B195" s="24"/>
      <c r="C195" s="22" cm="1">
        <f t="array" ref="C195">IF(ROW()&lt;14,"",IFERROR(B195/INDEX($B:$B,ROW()-12)-1,""))</f>
        <v>-1</v>
      </c>
      <c r="D195" s="22" cm="1">
        <f t="array" ref="D195">IF(ROW()&lt;3,"NA",IFERROR(B195/INDEX($B:$B,ROW()-1)-1,"NA"))</f>
        <v>-1</v>
      </c>
      <c r="E195" s="22" cm="1">
        <f t="array" ref="E195">IF(ROW()&lt;5,"NA",IFERROR(B195/INDEX($B:$B,ROW()-3)-1,"NA"))</f>
        <v>-1</v>
      </c>
      <c r="F195" s="23">
        <f t="shared" si="2"/>
        <v>-4.2677729026433751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BE8E-3AFB-4A9B-9355-7B4D336CD2C4}">
  <dimension ref="A1:F195"/>
  <sheetViews>
    <sheetView workbookViewId="0">
      <selection activeCell="E8" sqref="E8"/>
    </sheetView>
  </sheetViews>
  <sheetFormatPr defaultRowHeight="15"/>
  <cols>
    <col min="1" max="1" width="19.7109375" customWidth="1"/>
    <col min="2" max="2" width="11.140625" style="3" customWidth="1"/>
    <col min="3" max="4" width="12.7109375" style="4" customWidth="1"/>
    <col min="5" max="5" width="18.140625" style="4" customWidth="1"/>
    <col min="6" max="6" width="11.5703125" style="3" customWidth="1"/>
  </cols>
  <sheetData>
    <row r="1" spans="1:6">
      <c r="A1" t="s">
        <v>40</v>
      </c>
      <c r="B1" s="14"/>
      <c r="C1" s="15"/>
      <c r="D1" s="15"/>
      <c r="E1" s="15"/>
      <c r="F1" s="14"/>
    </row>
    <row r="2" spans="1:6">
      <c r="A2" s="16" t="s">
        <v>28</v>
      </c>
      <c r="B2" s="12" t="s">
        <v>41</v>
      </c>
      <c r="C2" s="18" t="s">
        <v>42</v>
      </c>
      <c r="D2" s="18" t="s">
        <v>43</v>
      </c>
      <c r="E2" s="18" t="s">
        <v>44</v>
      </c>
      <c r="F2" s="19" t="s">
        <v>45</v>
      </c>
    </row>
    <row r="3" spans="1:6">
      <c r="A3" s="20">
        <v>40179</v>
      </c>
      <c r="B3" s="11">
        <v>129802</v>
      </c>
      <c r="C3" s="22" t="str" cm="1">
        <f t="array" ref="C3">IF(ROW()&lt;14,"",IFERROR(B3/INDEX($B:$B,ROW()-12)-1,""))</f>
        <v/>
      </c>
      <c r="D3" s="22" t="str" cm="1">
        <f t="array" ref="D3">IF(ROW()&lt;3,"NA",IFERROR(B3/INDEX($B:$B,ROW()-1)-1,"NA"))</f>
        <v>NA</v>
      </c>
      <c r="E3" s="22" t="str" cm="1">
        <f t="array" ref="E3">IF(ROW()&lt;5,"NA",IFERROR(B3/INDEX($B:$B,ROW()-3)-1,"NA"))</f>
        <v>NA</v>
      </c>
      <c r="F3" s="23">
        <f>IFERROR((B3-AVERAGE($B:$B))/_xlfn.STDEV.S($B:$B),"")</f>
        <v>-1.6900680306068674</v>
      </c>
    </row>
    <row r="4" spans="1:6">
      <c r="A4" s="20">
        <v>40210</v>
      </c>
      <c r="B4" s="11">
        <v>129706</v>
      </c>
      <c r="C4" s="22" t="str" cm="1">
        <f t="array" ref="C4">IF(ROW()&lt;14,"",IFERROR(B4/INDEX($B:$B,ROW()-12)-1,""))</f>
        <v/>
      </c>
      <c r="D4" s="22" cm="1">
        <f t="array" ref="D4">IF(ROW()&lt;3,"NA",IFERROR(B4/INDEX($B:$B,ROW()-1)-1,"NA"))</f>
        <v>-7.395879878584477E-4</v>
      </c>
      <c r="E4" s="22" t="str" cm="1">
        <f t="array" ref="E4">IF(ROW()&lt;5,"NA",IFERROR(B4/INDEX($B:$B,ROW()-3)-1,"NA"))</f>
        <v>NA</v>
      </c>
      <c r="F4" s="23">
        <f t="shared" ref="F4:F67" si="0">IFERROR((B4-AVERAGE($B:$B))/_xlfn.STDEV.S($B:$B),"")</f>
        <v>-1.7008140618663443</v>
      </c>
    </row>
    <row r="5" spans="1:6">
      <c r="A5" s="20">
        <v>40238</v>
      </c>
      <c r="B5" s="11">
        <v>129866</v>
      </c>
      <c r="C5" s="22" t="str" cm="1">
        <f t="array" ref="C5">IF(ROW()&lt;14,"",IFERROR(B5/INDEX($B:$B,ROW()-12)-1,""))</f>
        <v/>
      </c>
      <c r="D5" s="22" cm="1">
        <f t="array" ref="D5">IF(ROW()&lt;3,"NA",IFERROR(B5/INDEX($B:$B,ROW()-1)-1,"NA"))</f>
        <v>1.233558971828641E-3</v>
      </c>
      <c r="E5" s="22" t="str" cm="1">
        <f t="array" ref="E5">IF(ROW()&lt;5,"NA",IFERROR(B5/INDEX($B:$B,ROW()-3)-1,"NA"))</f>
        <v>NA</v>
      </c>
      <c r="F5" s="23">
        <f t="shared" si="0"/>
        <v>-1.6829040097672161</v>
      </c>
    </row>
    <row r="6" spans="1:6">
      <c r="A6" s="20">
        <v>40269</v>
      </c>
      <c r="B6" s="11">
        <v>130120</v>
      </c>
      <c r="C6" s="22" t="str" cm="1">
        <f t="array" ref="C6">IF(ROW()&lt;14,"",IFERROR(B6/INDEX($B:$B,ROW()-12)-1,""))</f>
        <v/>
      </c>
      <c r="D6" s="22" cm="1">
        <f t="array" ref="D6">IF(ROW()&lt;3,"NA",IFERROR(B6/INDEX($B:$B,ROW()-1)-1,"NA"))</f>
        <v>1.9558621964177458E-3</v>
      </c>
      <c r="E6" s="22" cm="1">
        <f t="array" ref="E6">IF(ROW()&lt;5,"NA",IFERROR(B6/INDEX($B:$B,ROW()-3)-1,"NA"))</f>
        <v>2.4498852097809554E-3</v>
      </c>
      <c r="F6" s="23">
        <f t="shared" si="0"/>
        <v>-1.6544718020598503</v>
      </c>
    </row>
    <row r="7" spans="1:6">
      <c r="A7" s="20">
        <v>40299</v>
      </c>
      <c r="B7" s="11">
        <v>130642</v>
      </c>
      <c r="C7" s="22" t="str" cm="1">
        <f t="array" ref="C7">IF(ROW()&lt;14,"",IFERROR(B7/INDEX($B:$B,ROW()-12)-1,""))</f>
        <v/>
      </c>
      <c r="D7" s="22" cm="1">
        <f t="array" ref="D7">IF(ROW()&lt;3,"NA",IFERROR(B7/INDEX($B:$B,ROW()-1)-1,"NA"))</f>
        <v>4.0116815247464022E-3</v>
      </c>
      <c r="E7" s="22" cm="1">
        <f t="array" ref="E7">IF(ROW()&lt;5,"NA",IFERROR(B7/INDEX($B:$B,ROW()-3)-1,"NA"))</f>
        <v>7.2163199851973392E-3</v>
      </c>
      <c r="F7" s="23">
        <f t="shared" si="0"/>
        <v>-1.5960402570864447</v>
      </c>
    </row>
    <row r="8" spans="1:6">
      <c r="A8" s="20">
        <v>40330</v>
      </c>
      <c r="B8" s="11">
        <v>130510</v>
      </c>
      <c r="C8" s="22" t="str" cm="1">
        <f t="array" ref="C8">IF(ROW()&lt;14,"",IFERROR(B8/INDEX($B:$B,ROW()-12)-1,""))</f>
        <v/>
      </c>
      <c r="D8" s="22" cm="1">
        <f t="array" ref="D8">IF(ROW()&lt;3,"NA",IFERROR(B8/INDEX($B:$B,ROW()-1)-1,"NA"))</f>
        <v>-1.0103948194302159E-3</v>
      </c>
      <c r="E8" s="22" cm="1">
        <f t="array" ref="E8">IF(ROW()&lt;5,"NA",IFERROR(B8/INDEX($B:$B,ROW()-3)-1,"NA"))</f>
        <v>4.9589576948547709E-3</v>
      </c>
      <c r="F8" s="23">
        <f t="shared" si="0"/>
        <v>-1.6108160500682256</v>
      </c>
    </row>
    <row r="9" spans="1:6">
      <c r="A9" s="20">
        <v>40360</v>
      </c>
      <c r="B9" s="11">
        <v>130415</v>
      </c>
      <c r="C9" s="22" t="str" cm="1">
        <f t="array" ref="C9">IF(ROW()&lt;14,"",IFERROR(B9/INDEX($B:$B,ROW()-12)-1,""))</f>
        <v/>
      </c>
      <c r="D9" s="22" cm="1">
        <f t="array" ref="D9">IF(ROW()&lt;3,"NA",IFERROR(B9/INDEX($B:$B,ROW()-1)-1,"NA"))</f>
        <v>-7.2791356984136524E-4</v>
      </c>
      <c r="E9" s="22" cm="1">
        <f t="array" ref="E9">IF(ROW()&lt;5,"NA",IFERROR(B9/INDEX($B:$B,ROW()-3)-1,"NA"))</f>
        <v>2.2671380264371876E-3</v>
      </c>
      <c r="F9" s="23">
        <f t="shared" si="0"/>
        <v>-1.6214501435020827</v>
      </c>
    </row>
    <row r="10" spans="1:6">
      <c r="A10" s="20">
        <v>40391</v>
      </c>
      <c r="B10" s="11">
        <v>130415</v>
      </c>
      <c r="C10" s="22" t="str" cm="1">
        <f t="array" ref="C10">IF(ROW()&lt;14,"",IFERROR(B10/INDEX($B:$B,ROW()-12)-1,""))</f>
        <v/>
      </c>
      <c r="D10" s="22" cm="1">
        <f t="array" ref="D10">IF(ROW()&lt;3,"NA",IFERROR(B10/INDEX($B:$B,ROW()-1)-1,"NA"))</f>
        <v>0</v>
      </c>
      <c r="E10" s="22" cm="1">
        <f t="array" ref="E10">IF(ROW()&lt;5,"NA",IFERROR(B10/INDEX($B:$B,ROW()-3)-1,"NA"))</f>
        <v>-1.7375729091716474E-3</v>
      </c>
      <c r="F10" s="23">
        <f t="shared" si="0"/>
        <v>-1.6214501435020827</v>
      </c>
    </row>
    <row r="11" spans="1:6">
      <c r="A11" s="20">
        <v>40422</v>
      </c>
      <c r="B11" s="11">
        <v>130341</v>
      </c>
      <c r="C11" s="22" t="str" cm="1">
        <f t="array" ref="C11">IF(ROW()&lt;14,"",IFERROR(B11/INDEX($B:$B,ROW()-12)-1,""))</f>
        <v/>
      </c>
      <c r="D11" s="22" cm="1">
        <f t="array" ref="D11">IF(ROW()&lt;3,"NA",IFERROR(B11/INDEX($B:$B,ROW()-1)-1,"NA"))</f>
        <v>-5.6741939194115965E-4</v>
      </c>
      <c r="E11" s="22" cm="1">
        <f t="array" ref="E11">IF(ROW()&lt;5,"NA",IFERROR(B11/INDEX($B:$B,ROW()-3)-1,"NA"))</f>
        <v>-1.2949199295073655E-3</v>
      </c>
      <c r="F11" s="23">
        <f t="shared" si="0"/>
        <v>-1.6297335425979296</v>
      </c>
    </row>
    <row r="12" spans="1:6">
      <c r="A12" s="20">
        <v>40452</v>
      </c>
      <c r="B12" s="11">
        <v>130620</v>
      </c>
      <c r="C12" s="22" t="str" cm="1">
        <f t="array" ref="C12">IF(ROW()&lt;14,"",IFERROR(B12/INDEX($B:$B,ROW()-12)-1,""))</f>
        <v/>
      </c>
      <c r="D12" s="22" cm="1">
        <f t="array" ref="D12">IF(ROW()&lt;3,"NA",IFERROR(B12/INDEX($B:$B,ROW()-1)-1,"NA"))</f>
        <v>2.1405390475752739E-3</v>
      </c>
      <c r="E12" s="22" cm="1">
        <f t="array" ref="E12">IF(ROW()&lt;5,"NA",IFERROR(B12/INDEX($B:$B,ROW()-3)-1,"NA"))</f>
        <v>1.5719050722693417E-3</v>
      </c>
      <c r="F12" s="23">
        <f t="shared" si="0"/>
        <v>-1.598502889250075</v>
      </c>
    </row>
    <row r="13" spans="1:6">
      <c r="A13" s="20">
        <v>40483</v>
      </c>
      <c r="B13" s="11">
        <v>130749</v>
      </c>
      <c r="C13" s="22" t="str" cm="1">
        <f t="array" ref="C13">IF(ROW()&lt;14,"",IFERROR(B13/INDEX($B:$B,ROW()-12)-1,""))</f>
        <v/>
      </c>
      <c r="D13" s="22" cm="1">
        <f t="array" ref="D13">IF(ROW()&lt;3,"NA",IFERROR(B13/INDEX($B:$B,ROW()-1)-1,"NA"))</f>
        <v>9.8759761139177726E-4</v>
      </c>
      <c r="E13" s="22" cm="1">
        <f t="array" ref="E13">IF(ROW()&lt;5,"NA",IFERROR(B13/INDEX($B:$B,ROW()-3)-1,"NA"))</f>
        <v>2.5610550933559129E-3</v>
      </c>
      <c r="F13" s="23">
        <f t="shared" si="0"/>
        <v>-1.5840629097451528</v>
      </c>
    </row>
    <row r="14" spans="1:6">
      <c r="A14" s="20">
        <v>40513</v>
      </c>
      <c r="B14" s="11">
        <v>130830</v>
      </c>
      <c r="C14" s="22" t="str" cm="1">
        <f t="array" ref="C14">IF(ROW()&lt;14,"",IFERROR(B14/INDEX($B:$B,ROW()-12)-1,""))</f>
        <v/>
      </c>
      <c r="D14" s="22" cm="1">
        <f t="array" ref="D14">IF(ROW()&lt;3,"NA",IFERROR(B14/INDEX($B:$B,ROW()-1)-1,"NA"))</f>
        <v>6.1950760617679457E-4</v>
      </c>
      <c r="E14" s="22" cm="1">
        <f t="array" ref="E14">IF(ROW()&lt;5,"NA",IFERROR(B14/INDEX($B:$B,ROW()-3)-1,"NA"))</f>
        <v>3.7516974704812078E-3</v>
      </c>
      <c r="F14" s="23">
        <f t="shared" si="0"/>
        <v>-1.5749959458699692</v>
      </c>
    </row>
    <row r="15" spans="1:6">
      <c r="A15" s="20">
        <v>40544</v>
      </c>
      <c r="B15" s="11">
        <v>130837</v>
      </c>
      <c r="C15" s="22" cm="1">
        <f t="array" ref="C15">IF(ROW()&lt;14,"",IFERROR(B15/INDEX($B:$B,ROW()-12)-1,""))</f>
        <v>7.9736829940986187E-3</v>
      </c>
      <c r="D15" s="22" cm="1">
        <f t="array" ref="D15">IF(ROW()&lt;3,"NA",IFERROR(B15/INDEX($B:$B,ROW()-1)-1,"NA"))</f>
        <v>5.3504547886662479E-5</v>
      </c>
      <c r="E15" s="22" cm="1">
        <f t="array" ref="E15">IF(ROW()&lt;5,"NA",IFERROR(B15/INDEX($B:$B,ROW()-3)-1,"NA"))</f>
        <v>1.6613076098606072E-3</v>
      </c>
      <c r="F15" s="23">
        <f t="shared" si="0"/>
        <v>-1.5742123810906323</v>
      </c>
    </row>
    <row r="16" spans="1:6">
      <c r="A16" s="20">
        <v>40575</v>
      </c>
      <c r="B16" s="11">
        <v>131057</v>
      </c>
      <c r="C16" s="22" cm="1">
        <f t="array" ref="C16">IF(ROW()&lt;14,"",IFERROR(B16/INDEX($B:$B,ROW()-12)-1,""))</f>
        <v>1.0415863568377759E-2</v>
      </c>
      <c r="D16" s="22" cm="1">
        <f t="array" ref="D16">IF(ROW()&lt;3,"NA",IFERROR(B16/INDEX($B:$B,ROW()-1)-1,"NA"))</f>
        <v>1.6814815380969961E-3</v>
      </c>
      <c r="E16" s="22" cm="1">
        <f t="array" ref="E16">IF(ROW()&lt;5,"NA",IFERROR(B16/INDEX($B:$B,ROW()-3)-1,"NA"))</f>
        <v>2.3556585518818007E-3</v>
      </c>
      <c r="F16" s="23">
        <f t="shared" si="0"/>
        <v>-1.5495860594543311</v>
      </c>
    </row>
    <row r="17" spans="1:6">
      <c r="A17" s="20">
        <v>40603</v>
      </c>
      <c r="B17" s="11">
        <v>131283</v>
      </c>
      <c r="C17" s="22" cm="1">
        <f t="array" ref="C17">IF(ROW()&lt;14,"",IFERROR(B17/INDEX($B:$B,ROW()-12)-1,""))</f>
        <v>1.0911246977653999E-2</v>
      </c>
      <c r="D17" s="22" cm="1">
        <f t="array" ref="D17">IF(ROW()&lt;3,"NA",IFERROR(B17/INDEX($B:$B,ROW()-1)-1,"NA"))</f>
        <v>1.7244405106175975E-3</v>
      </c>
      <c r="E17" s="22" cm="1">
        <f t="array" ref="E17">IF(ROW()&lt;5,"NA",IFERROR(B17/INDEX($B:$B,ROW()-3)-1,"NA"))</f>
        <v>3.4625085989452575E-3</v>
      </c>
      <c r="F17" s="23">
        <f t="shared" si="0"/>
        <v>-1.5242881108643127</v>
      </c>
    </row>
    <row r="18" spans="1:6">
      <c r="A18" s="20">
        <v>40634</v>
      </c>
      <c r="B18" s="11">
        <v>131597</v>
      </c>
      <c r="C18" s="22" cm="1">
        <f t="array" ref="C18">IF(ROW()&lt;14,"",IFERROR(B18/INDEX($B:$B,ROW()-12)-1,""))</f>
        <v>1.1351060559483539E-2</v>
      </c>
      <c r="D18" s="22" cm="1">
        <f t="array" ref="D18">IF(ROW()&lt;3,"NA",IFERROR(B18/INDEX($B:$B,ROW()-1)-1,"NA"))</f>
        <v>2.3917795906553962E-3</v>
      </c>
      <c r="E18" s="22" cm="1">
        <f t="array" ref="E18">IF(ROW()&lt;5,"NA",IFERROR(B18/INDEX($B:$B,ROW()-3)-1,"NA"))</f>
        <v>5.808754404335259E-3</v>
      </c>
      <c r="F18" s="23">
        <f t="shared" si="0"/>
        <v>-1.4891396336197738</v>
      </c>
    </row>
    <row r="19" spans="1:6">
      <c r="A19" s="20">
        <v>40664</v>
      </c>
      <c r="B19" s="11">
        <v>131703</v>
      </c>
      <c r="C19" s="22" cm="1">
        <f t="array" ref="C19">IF(ROW()&lt;14,"",IFERROR(B19/INDEX($B:$B,ROW()-12)-1,""))</f>
        <v>8.1214310864805572E-3</v>
      </c>
      <c r="D19" s="22" cm="1">
        <f t="array" ref="D19">IF(ROW()&lt;3,"NA",IFERROR(B19/INDEX($B:$B,ROW()-1)-1,"NA"))</f>
        <v>8.0548948684233679E-4</v>
      </c>
      <c r="E19" s="22" cm="1">
        <f t="array" ref="E19">IF(ROW()&lt;5,"NA",IFERROR(B19/INDEX($B:$B,ROW()-3)-1,"NA"))</f>
        <v>4.9291529639774456E-3</v>
      </c>
      <c r="F19" s="23">
        <f t="shared" si="0"/>
        <v>-1.4772742241041015</v>
      </c>
    </row>
    <row r="20" spans="1:6">
      <c r="A20" s="20">
        <v>40695</v>
      </c>
      <c r="B20" s="11">
        <v>131931</v>
      </c>
      <c r="C20" s="22" cm="1">
        <f t="array" ref="C20">IF(ROW()&lt;14,"",IFERROR(B20/INDEX($B:$B,ROW()-12)-1,""))</f>
        <v>1.0888054555206583E-2</v>
      </c>
      <c r="D20" s="22" cm="1">
        <f t="array" ref="D20">IF(ROW()&lt;3,"NA",IFERROR(B20/INDEX($B:$B,ROW()-1)-1,"NA"))</f>
        <v>1.7311678549463139E-3</v>
      </c>
      <c r="E20" s="22" cm="1">
        <f t="array" ref="E20">IF(ROW()&lt;5,"NA",IFERROR(B20/INDEX($B:$B,ROW()-3)-1,"NA"))</f>
        <v>4.9359018303969382E-3</v>
      </c>
      <c r="F20" s="23">
        <f t="shared" si="0"/>
        <v>-1.4517523998628439</v>
      </c>
    </row>
    <row r="21" spans="1:6">
      <c r="A21" s="20">
        <v>40725</v>
      </c>
      <c r="B21" s="11">
        <v>131992</v>
      </c>
      <c r="C21" s="22" cm="1">
        <f t="array" ref="C21">IF(ROW()&lt;14,"",IFERROR(B21/INDEX($B:$B,ROW()-12)-1,""))</f>
        <v>1.2092167312042434E-2</v>
      </c>
      <c r="D21" s="22" cm="1">
        <f t="array" ref="D21">IF(ROW()&lt;3,"NA",IFERROR(B21/INDEX($B:$B,ROW()-1)-1,"NA"))</f>
        <v>4.6236290181989048E-4</v>
      </c>
      <c r="E21" s="22" cm="1">
        <f t="array" ref="E21">IF(ROW()&lt;5,"NA",IFERROR(B21/INDEX($B:$B,ROW()-3)-1,"NA"))</f>
        <v>3.0015881821015E-3</v>
      </c>
      <c r="F21" s="23">
        <f t="shared" si="0"/>
        <v>-1.4449241925000511</v>
      </c>
    </row>
    <row r="22" spans="1:6">
      <c r="A22" s="20">
        <v>40756</v>
      </c>
      <c r="B22" s="11">
        <v>132125</v>
      </c>
      <c r="C22" s="22" cm="1">
        <f t="array" ref="C22">IF(ROW()&lt;14,"",IFERROR(B22/INDEX($B:$B,ROW()-12)-1,""))</f>
        <v>1.3111988651612227E-2</v>
      </c>
      <c r="D22" s="22" cm="1">
        <f t="array" ref="D22">IF(ROW()&lt;3,"NA",IFERROR(B22/INDEX($B:$B,ROW()-1)-1,"NA"))</f>
        <v>1.0076368264744229E-3</v>
      </c>
      <c r="E22" s="22" cm="1">
        <f t="array" ref="E22">IF(ROW()&lt;5,"NA",IFERROR(B22/INDEX($B:$B,ROW()-3)-1,"NA"))</f>
        <v>3.2041790999446373E-3</v>
      </c>
      <c r="F22" s="23">
        <f t="shared" si="0"/>
        <v>-1.4300364616926509</v>
      </c>
    </row>
    <row r="23" spans="1:6">
      <c r="A23" s="20">
        <v>40787</v>
      </c>
      <c r="B23" s="11">
        <v>132344</v>
      </c>
      <c r="C23" s="22" cm="1">
        <f t="array" ref="C23">IF(ROW()&lt;14,"",IFERROR(B23/INDEX($B:$B,ROW()-12)-1,""))</f>
        <v>1.5367382481337399E-2</v>
      </c>
      <c r="D23" s="22" cm="1">
        <f t="array" ref="D23">IF(ROW()&lt;3,"NA",IFERROR(B23/INDEX($B:$B,ROW()-1)-1,"NA"))</f>
        <v>1.6575212866603017E-3</v>
      </c>
      <c r="E23" s="22" cm="1">
        <f t="array" ref="E23">IF(ROW()&lt;5,"NA",IFERROR(B23/INDEX($B:$B,ROW()-3)-1,"NA"))</f>
        <v>3.1304242369116775E-3</v>
      </c>
      <c r="F23" s="23">
        <f t="shared" si="0"/>
        <v>-1.4055220778819693</v>
      </c>
    </row>
    <row r="24" spans="1:6">
      <c r="A24" s="20">
        <v>40817</v>
      </c>
      <c r="B24" s="11">
        <v>132553</v>
      </c>
      <c r="C24" s="22" cm="1">
        <f t="array" ref="C24">IF(ROW()&lt;14,"",IFERROR(B24/INDEX($B:$B,ROW()-12)-1,""))</f>
        <v>1.4798652580003013E-2</v>
      </c>
      <c r="D24" s="22" cm="1">
        <f t="array" ref="D24">IF(ROW()&lt;3,"NA",IFERROR(B24/INDEX($B:$B,ROW()-1)-1,"NA"))</f>
        <v>1.5792177960467502E-3</v>
      </c>
      <c r="E24" s="22" cm="1">
        <f t="array" ref="E24">IF(ROW()&lt;5,"NA",IFERROR(B24/INDEX($B:$B,ROW()-3)-1,"NA"))</f>
        <v>4.2502575913692109E-3</v>
      </c>
      <c r="F24" s="23">
        <f t="shared" si="0"/>
        <v>-1.3821270723274832</v>
      </c>
    </row>
    <row r="25" spans="1:6">
      <c r="A25" s="20">
        <v>40848</v>
      </c>
      <c r="B25" s="11">
        <v>132690</v>
      </c>
      <c r="C25" s="22" cm="1">
        <f t="array" ref="C25">IF(ROW()&lt;14,"",IFERROR(B25/INDEX($B:$B,ROW()-12)-1,""))</f>
        <v>1.4845237822086688E-2</v>
      </c>
      <c r="D25" s="22" cm="1">
        <f t="array" ref="D25">IF(ROW()&lt;3,"NA",IFERROR(B25/INDEX($B:$B,ROW()-1)-1,"NA"))</f>
        <v>1.0335488446131524E-3</v>
      </c>
      <c r="E25" s="22" cm="1">
        <f t="array" ref="E25">IF(ROW()&lt;5,"NA",IFERROR(B25/INDEX($B:$B,ROW()-3)-1,"NA"))</f>
        <v>4.2762535477767205E-3</v>
      </c>
      <c r="F25" s="23">
        <f t="shared" si="0"/>
        <v>-1.3667915902176047</v>
      </c>
    </row>
    <row r="26" spans="1:6">
      <c r="A26" s="20">
        <v>40878</v>
      </c>
      <c r="B26" s="11">
        <v>132888</v>
      </c>
      <c r="C26" s="22" cm="1">
        <f t="array" ref="C26">IF(ROW()&lt;14,"",IFERROR(B26/INDEX($B:$B,ROW()-12)-1,""))</f>
        <v>1.5730337078651679E-2</v>
      </c>
      <c r="D26" s="22" cm="1">
        <f t="array" ref="D26">IF(ROW()&lt;3,"NA",IFERROR(B26/INDEX($B:$B,ROW()-1)-1,"NA"))</f>
        <v>1.492199864345567E-3</v>
      </c>
      <c r="E26" s="22" cm="1">
        <f t="array" ref="E26">IF(ROW()&lt;5,"NA",IFERROR(B26/INDEX($B:$B,ROW()-3)-1,"NA"))</f>
        <v>4.1104999093271033E-3</v>
      </c>
      <c r="F26" s="23">
        <f t="shared" si="0"/>
        <v>-1.3446279007449338</v>
      </c>
    </row>
    <row r="27" spans="1:6">
      <c r="A27" s="20">
        <v>40909</v>
      </c>
      <c r="B27" s="11">
        <v>133246</v>
      </c>
      <c r="C27" s="22" cm="1">
        <f t="array" ref="C27">IF(ROW()&lt;14,"",IFERROR(B27/INDEX($B:$B,ROW()-12)-1,""))</f>
        <v>1.8412222842162373E-2</v>
      </c>
      <c r="D27" s="22" cm="1">
        <f t="array" ref="D27">IF(ROW()&lt;3,"NA",IFERROR(B27/INDEX($B:$B,ROW()-1)-1,"NA"))</f>
        <v>2.6939979531634961E-3</v>
      </c>
      <c r="E27" s="22" cm="1">
        <f t="array" ref="E27">IF(ROW()&lt;5,"NA",IFERROR(B27/INDEX($B:$B,ROW()-3)-1,"NA"))</f>
        <v>5.2280974402691971E-3</v>
      </c>
      <c r="F27" s="23">
        <f t="shared" si="0"/>
        <v>-1.3045541591731344</v>
      </c>
    </row>
    <row r="28" spans="1:6">
      <c r="A28" s="20">
        <v>40940</v>
      </c>
      <c r="B28" s="11">
        <v>133509</v>
      </c>
      <c r="C28" s="22" cm="1">
        <f t="array" ref="C28">IF(ROW()&lt;14,"",IFERROR(B28/INDEX($B:$B,ROW()-12)-1,""))</f>
        <v>1.8709416513425392E-2</v>
      </c>
      <c r="D28" s="22" cm="1">
        <f t="array" ref="D28">IF(ROW()&lt;3,"NA",IFERROR(B28/INDEX($B:$B,ROW()-1)-1,"NA"))</f>
        <v>1.9737928343064315E-3</v>
      </c>
      <c r="E28" s="22" cm="1">
        <f t="array" ref="E28">IF(ROW()&lt;5,"NA",IFERROR(B28/INDEX($B:$B,ROW()-3)-1,"NA"))</f>
        <v>6.1722812570652597E-3</v>
      </c>
      <c r="F28" s="23">
        <f t="shared" si="0"/>
        <v>-1.2751145110351927</v>
      </c>
    </row>
    <row r="29" spans="1:6">
      <c r="A29" s="20">
        <v>40969</v>
      </c>
      <c r="B29" s="11">
        <v>133748</v>
      </c>
      <c r="C29" s="22" cm="1">
        <f t="array" ref="C29">IF(ROW()&lt;14,"",IFERROR(B29/INDEX($B:$B,ROW()-12)-1,""))</f>
        <v>1.8776231499889606E-2</v>
      </c>
      <c r="D29" s="22" cm="1">
        <f t="array" ref="D29">IF(ROW()&lt;3,"NA",IFERROR(B29/INDEX($B:$B,ROW()-1)-1,"NA"))</f>
        <v>1.7901414885888034E-3</v>
      </c>
      <c r="E29" s="22" cm="1">
        <f t="array" ref="E29">IF(ROW()&lt;5,"NA",IFERROR(B29/INDEX($B:$B,ROW()-3)-1,"NA"))</f>
        <v>6.4716151947503686E-3</v>
      </c>
      <c r="F29" s="23">
        <f t="shared" si="0"/>
        <v>-1.2483613707121199</v>
      </c>
    </row>
    <row r="30" spans="1:6">
      <c r="A30" s="20">
        <v>41000</v>
      </c>
      <c r="B30" s="11">
        <v>133825</v>
      </c>
      <c r="C30" s="22" cm="1">
        <f t="array" ref="C30">IF(ROW()&lt;14,"",IFERROR(B30/INDEX($B:$B,ROW()-12)-1,""))</f>
        <v>1.693047713853657E-2</v>
      </c>
      <c r="D30" s="22" cm="1">
        <f t="array" ref="D30">IF(ROW()&lt;3,"NA",IFERROR(B30/INDEX($B:$B,ROW()-1)-1,"NA"))</f>
        <v>5.7570954332031299E-4</v>
      </c>
      <c r="E30" s="22" cm="1">
        <f t="array" ref="E30">IF(ROW()&lt;5,"NA",IFERROR(B30/INDEX($B:$B,ROW()-3)-1,"NA"))</f>
        <v>4.3453462017621902E-3</v>
      </c>
      <c r="F30" s="23">
        <f t="shared" si="0"/>
        <v>-1.2397421581394146</v>
      </c>
    </row>
    <row r="31" spans="1:6">
      <c r="A31" s="20">
        <v>41030</v>
      </c>
      <c r="B31" s="11">
        <v>133932</v>
      </c>
      <c r="C31" s="22" cm="1">
        <f t="array" ref="C31">IF(ROW()&lt;14,"",IFERROR(B31/INDEX($B:$B,ROW()-12)-1,""))</f>
        <v>1.6924443634541264E-2</v>
      </c>
      <c r="D31" s="22" cm="1">
        <f t="array" ref="D31">IF(ROW()&lt;3,"NA",IFERROR(B31/INDEX($B:$B,ROW()-1)-1,"NA"))</f>
        <v>7.9955165327860733E-4</v>
      </c>
      <c r="E31" s="22" cm="1">
        <f t="array" ref="E31">IF(ROW()&lt;5,"NA",IFERROR(B31/INDEX($B:$B,ROW()-3)-1,"NA"))</f>
        <v>3.1683257308496859E-3</v>
      </c>
      <c r="F31" s="23">
        <f t="shared" si="0"/>
        <v>-1.2277648107981227</v>
      </c>
    </row>
    <row r="32" spans="1:6">
      <c r="A32" s="20">
        <v>41061</v>
      </c>
      <c r="B32" s="11">
        <v>134013</v>
      </c>
      <c r="C32" s="22" cm="1">
        <f t="array" ref="C32">IF(ROW()&lt;14,"",IFERROR(B32/INDEX($B:$B,ROW()-12)-1,""))</f>
        <v>1.5780976419492054E-2</v>
      </c>
      <c r="D32" s="22" cm="1">
        <f t="array" ref="D32">IF(ROW()&lt;3,"NA",IFERROR(B32/INDEX($B:$B,ROW()-1)-1,"NA"))</f>
        <v>6.0478451751633244E-4</v>
      </c>
      <c r="E32" s="22" cm="1">
        <f t="array" ref="E32">IF(ROW()&lt;5,"NA",IFERROR(B32/INDEX($B:$B,ROW()-3)-1,"NA"))</f>
        <v>1.9813380386997093E-3</v>
      </c>
      <c r="F32" s="23">
        <f t="shared" si="0"/>
        <v>-1.218697846922939</v>
      </c>
    </row>
    <row r="33" spans="1:6">
      <c r="A33" s="20">
        <v>41091</v>
      </c>
      <c r="B33" s="11">
        <v>134157</v>
      </c>
      <c r="C33" s="22" cm="1">
        <f t="array" ref="C33">IF(ROW()&lt;14,"",IFERROR(B33/INDEX($B:$B,ROW()-12)-1,""))</f>
        <v>1.6402509242984475E-2</v>
      </c>
      <c r="D33" s="22" cm="1">
        <f t="array" ref="D33">IF(ROW()&lt;3,"NA",IFERROR(B33/INDEX($B:$B,ROW()-1)-1,"NA"))</f>
        <v>1.0745226209396552E-3</v>
      </c>
      <c r="E33" s="22" cm="1">
        <f t="array" ref="E33">IF(ROW()&lt;5,"NA",IFERROR(B33/INDEX($B:$B,ROW()-3)-1,"NA"))</f>
        <v>2.4808518587706718E-3</v>
      </c>
      <c r="F33" s="23">
        <f t="shared" si="0"/>
        <v>-1.2025788000337236</v>
      </c>
    </row>
    <row r="34" spans="1:6">
      <c r="A34" s="20">
        <v>41122</v>
      </c>
      <c r="B34" s="11">
        <v>134339</v>
      </c>
      <c r="C34" s="22" cm="1">
        <f t="array" ref="C34">IF(ROW()&lt;14,"",IFERROR(B34/INDEX($B:$B,ROW()-12)-1,""))</f>
        <v>1.6756859035004679E-2</v>
      </c>
      <c r="D34" s="22" cm="1">
        <f t="array" ref="D34">IF(ROW()&lt;3,"NA",IFERROR(B34/INDEX($B:$B,ROW()-1)-1,"NA"))</f>
        <v>1.3566194831429179E-3</v>
      </c>
      <c r="E34" s="22" cm="1">
        <f t="array" ref="E34">IF(ROW()&lt;5,"NA",IFERROR(B34/INDEX($B:$B,ROW()-3)-1,"NA"))</f>
        <v>3.0388555386315907E-3</v>
      </c>
      <c r="F34" s="23">
        <f t="shared" si="0"/>
        <v>-1.1822061157709656</v>
      </c>
    </row>
    <row r="35" spans="1:6">
      <c r="A35" s="20">
        <v>41153</v>
      </c>
      <c r="B35" s="11">
        <v>134517</v>
      </c>
      <c r="C35" s="22" cm="1">
        <f t="array" ref="C35">IF(ROW()&lt;14,"",IFERROR(B35/INDEX($B:$B,ROW()-12)-1,""))</f>
        <v>1.6419331439279539E-2</v>
      </c>
      <c r="D35" s="22" cm="1">
        <f t="array" ref="D35">IF(ROW()&lt;3,"NA",IFERROR(B35/INDEX($B:$B,ROW()-1)-1,"NA"))</f>
        <v>1.3250061411802516E-3</v>
      </c>
      <c r="E35" s="22" cm="1">
        <f t="array" ref="E35">IF(ROW()&lt;5,"NA",IFERROR(B35/INDEX($B:$B,ROW()-3)-1,"NA"))</f>
        <v>3.7608291732891264E-3</v>
      </c>
      <c r="F35" s="23">
        <f t="shared" si="0"/>
        <v>-1.1622811828106854</v>
      </c>
    </row>
    <row r="36" spans="1:6">
      <c r="A36" s="20">
        <v>41183</v>
      </c>
      <c r="B36" s="11">
        <v>134669</v>
      </c>
      <c r="C36" s="22" cm="1">
        <f t="array" ref="C36">IF(ROW()&lt;14,"",IFERROR(B36/INDEX($B:$B,ROW()-12)-1,""))</f>
        <v>1.5963425950374477E-2</v>
      </c>
      <c r="D36" s="22" cm="1">
        <f t="array" ref="D36">IF(ROW()&lt;3,"NA",IFERROR(B36/INDEX($B:$B,ROW()-1)-1,"NA"))</f>
        <v>1.1299687028405447E-3</v>
      </c>
      <c r="E36" s="22" cm="1">
        <f t="array" ref="E36">IF(ROW()&lt;5,"NA",IFERROR(B36/INDEX($B:$B,ROW()-3)-1,"NA"))</f>
        <v>3.8164240404898742E-3</v>
      </c>
      <c r="F36" s="23">
        <f t="shared" si="0"/>
        <v>-1.1452666333165138</v>
      </c>
    </row>
    <row r="37" spans="1:6">
      <c r="A37" s="20">
        <v>41214</v>
      </c>
      <c r="B37" s="11">
        <v>134825</v>
      </c>
      <c r="C37" s="22" cm="1">
        <f t="array" ref="C37">IF(ROW()&lt;14,"",IFERROR(B37/INDEX($B:$B,ROW()-12)-1,""))</f>
        <v>1.6090134900896835E-2</v>
      </c>
      <c r="D37" s="22" cm="1">
        <f t="array" ref="D37">IF(ROW()&lt;3,"NA",IFERROR(B37/INDEX($B:$B,ROW()-1)-1,"NA"))</f>
        <v>1.1583957703702463E-3</v>
      </c>
      <c r="E37" s="22" cm="1">
        <f t="array" ref="E37">IF(ROW()&lt;5,"NA",IFERROR(B37/INDEX($B:$B,ROW()-3)-1,"NA"))</f>
        <v>3.6177133967052466E-3</v>
      </c>
      <c r="F37" s="23">
        <f t="shared" si="0"/>
        <v>-1.1278043325198639</v>
      </c>
    </row>
    <row r="38" spans="1:6">
      <c r="A38" s="20">
        <v>41244</v>
      </c>
      <c r="B38" s="11">
        <v>135074</v>
      </c>
      <c r="C38" s="22" cm="1">
        <f t="array" ref="C38">IF(ROW()&lt;14,"",IFERROR(B38/INDEX($B:$B,ROW()-12)-1,""))</f>
        <v>1.6449942808981932E-2</v>
      </c>
      <c r="D38" s="22" cm="1">
        <f t="array" ref="D38">IF(ROW()&lt;3,"NA",IFERROR(B38/INDEX($B:$B,ROW()-1)-1,"NA"))</f>
        <v>1.846838494344416E-3</v>
      </c>
      <c r="E38" s="22" cm="1">
        <f t="array" ref="E38">IF(ROW()&lt;5,"NA",IFERROR(B38/INDEX($B:$B,ROW()-3)-1,"NA"))</f>
        <v>4.1407405755407023E-3</v>
      </c>
      <c r="F38" s="23">
        <f t="shared" si="0"/>
        <v>-1.0999318139405956</v>
      </c>
    </row>
    <row r="39" spans="1:6">
      <c r="A39" s="20">
        <v>41275</v>
      </c>
      <c r="B39" s="11">
        <v>135257</v>
      </c>
      <c r="C39" s="22" cm="1">
        <f t="array" ref="C39">IF(ROW()&lt;14,"",IFERROR(B39/INDEX($B:$B,ROW()-12)-1,""))</f>
        <v>1.5092385512510686E-2</v>
      </c>
      <c r="D39" s="22" cm="1">
        <f t="array" ref="D39">IF(ROW()&lt;3,"NA",IFERROR(B39/INDEX($B:$B,ROW()-1)-1,"NA"))</f>
        <v>1.3548129173637236E-3</v>
      </c>
      <c r="E39" s="22" cm="1">
        <f t="array" ref="E39">IF(ROW()&lt;5,"NA",IFERROR(B39/INDEX($B:$B,ROW()-3)-1,"NA"))</f>
        <v>4.3662609806265351E-3</v>
      </c>
      <c r="F39" s="23">
        <f t="shared" si="0"/>
        <v>-1.0794471918522179</v>
      </c>
    </row>
    <row r="40" spans="1:6">
      <c r="A40" s="20">
        <v>41306</v>
      </c>
      <c r="B40" s="11">
        <v>135546</v>
      </c>
      <c r="C40" s="22" cm="1">
        <f t="array" ref="C40">IF(ROW()&lt;14,"",IFERROR(B40/INDEX($B:$B,ROW()-12)-1,""))</f>
        <v>1.5257398377637399E-2</v>
      </c>
      <c r="D40" s="22" cm="1">
        <f t="array" ref="D40">IF(ROW()&lt;3,"NA",IFERROR(B40/INDEX($B:$B,ROW()-1)-1,"NA"))</f>
        <v>2.1366731481549106E-3</v>
      </c>
      <c r="E40" s="22" cm="1">
        <f t="array" ref="E40">IF(ROW()&lt;5,"NA",IFERROR(B40/INDEX($B:$B,ROW()-3)-1,"NA"))</f>
        <v>5.3476729093269171E-3</v>
      </c>
      <c r="F40" s="23">
        <f t="shared" si="0"/>
        <v>-1.0470971602481676</v>
      </c>
    </row>
    <row r="41" spans="1:6">
      <c r="A41" s="20">
        <v>41334</v>
      </c>
      <c r="B41" s="11">
        <v>135689</v>
      </c>
      <c r="C41" s="22" cm="1">
        <f t="array" ref="C41">IF(ROW()&lt;14,"",IFERROR(B41/INDEX($B:$B,ROW()-12)-1,""))</f>
        <v>1.4512366540060384E-2</v>
      </c>
      <c r="D41" s="22" cm="1">
        <f t="array" ref="D41">IF(ROW()&lt;3,"NA",IFERROR(B41/INDEX($B:$B,ROW()-1)-1,"NA"))</f>
        <v>1.0549924011036271E-3</v>
      </c>
      <c r="E41" s="22" cm="1">
        <f t="array" ref="E41">IF(ROW()&lt;5,"NA",IFERROR(B41/INDEX($B:$B,ROW()-3)-1,"NA"))</f>
        <v>4.5530598042553549E-3</v>
      </c>
      <c r="F41" s="23">
        <f t="shared" si="0"/>
        <v>-1.031090051184572</v>
      </c>
    </row>
    <row r="42" spans="1:6">
      <c r="A42" s="20">
        <v>41365</v>
      </c>
      <c r="B42" s="11">
        <v>135873</v>
      </c>
      <c r="C42" s="22" cm="1">
        <f t="array" ref="C42">IF(ROW()&lt;14,"",IFERROR(B42/INDEX($B:$B,ROW()-12)-1,""))</f>
        <v>1.5303568092658315E-2</v>
      </c>
      <c r="D42" s="22" cm="1">
        <f t="array" ref="D42">IF(ROW()&lt;3,"NA",IFERROR(B42/INDEX($B:$B,ROW()-1)-1,"NA"))</f>
        <v>1.3560421257434729E-3</v>
      </c>
      <c r="E42" s="22" cm="1">
        <f t="array" ref="E42">IF(ROW()&lt;5,"NA",IFERROR(B42/INDEX($B:$B,ROW()-3)-1,"NA"))</f>
        <v>4.5542929386279685E-3</v>
      </c>
      <c r="F42" s="23">
        <f t="shared" si="0"/>
        <v>-1.0104934912705745</v>
      </c>
    </row>
    <row r="43" spans="1:6">
      <c r="A43" s="20">
        <v>41395</v>
      </c>
      <c r="B43" s="11">
        <v>136096</v>
      </c>
      <c r="C43" s="22" cm="1">
        <f t="array" ref="C43">IF(ROW()&lt;14,"",IFERROR(B43/INDEX($B:$B,ROW()-12)-1,""))</f>
        <v>1.6157453035869018E-2</v>
      </c>
      <c r="D43" s="22" cm="1">
        <f t="array" ref="D43">IF(ROW()&lt;3,"NA",IFERROR(B43/INDEX($B:$B,ROW()-1)-1,"NA"))</f>
        <v>1.6412385094903836E-3</v>
      </c>
      <c r="E43" s="22" cm="1">
        <f t="array" ref="E43">IF(ROW()&lt;5,"NA",IFERROR(B43/INDEX($B:$B,ROW()-3)-1,"NA"))</f>
        <v>4.0576630811679504E-3</v>
      </c>
      <c r="F43" s="23">
        <f t="shared" si="0"/>
        <v>-0.98553135615741472</v>
      </c>
    </row>
    <row r="44" spans="1:6">
      <c r="A44" s="20">
        <v>41426</v>
      </c>
      <c r="B44" s="11">
        <v>136279</v>
      </c>
      <c r="C44" s="22" cm="1">
        <f t="array" ref="C44">IF(ROW()&lt;14,"",IFERROR(B44/INDEX($B:$B,ROW()-12)-1,""))</f>
        <v>1.690880735451028E-2</v>
      </c>
      <c r="D44" s="22" cm="1">
        <f t="array" ref="D44">IF(ROW()&lt;3,"NA",IFERROR(B44/INDEX($B:$B,ROW()-1)-1,"NA"))</f>
        <v>1.344639078297627E-3</v>
      </c>
      <c r="E44" s="22" cm="1">
        <f t="array" ref="E44">IF(ROW()&lt;5,"NA",IFERROR(B44/INDEX($B:$B,ROW()-3)-1,"NA"))</f>
        <v>4.3481785553729502E-3</v>
      </c>
      <c r="F44" s="23">
        <f t="shared" si="0"/>
        <v>-0.96504673406903696</v>
      </c>
    </row>
    <row r="45" spans="1:6">
      <c r="A45" s="20">
        <v>41456</v>
      </c>
      <c r="B45" s="11">
        <v>136391</v>
      </c>
      <c r="C45" s="22" cm="1">
        <f t="array" ref="C45">IF(ROW()&lt;14,"",IFERROR(B45/INDEX($B:$B,ROW()-12)-1,""))</f>
        <v>1.6652131457918662E-2</v>
      </c>
      <c r="D45" s="22" cm="1">
        <f t="array" ref="D45">IF(ROW()&lt;3,"NA",IFERROR(B45/INDEX($B:$B,ROW()-1)-1,"NA"))</f>
        <v>8.2184342415181355E-4</v>
      </c>
      <c r="E45" s="22" cm="1">
        <f t="array" ref="E45">IF(ROW()&lt;5,"NA",IFERROR(B45/INDEX($B:$B,ROW()-3)-1,"NA"))</f>
        <v>3.8123836229420061E-3</v>
      </c>
      <c r="F45" s="23">
        <f t="shared" si="0"/>
        <v>-0.95250969759964721</v>
      </c>
    </row>
    <row r="46" spans="1:6">
      <c r="A46" s="20">
        <v>41487</v>
      </c>
      <c r="B46" s="11">
        <v>136646</v>
      </c>
      <c r="C46" s="22" cm="1">
        <f t="array" ref="C46">IF(ROW()&lt;14,"",IFERROR(B46/INDEX($B:$B,ROW()-12)-1,""))</f>
        <v>1.7172972852261825E-2</v>
      </c>
      <c r="D46" s="22" cm="1">
        <f t="array" ref="D46">IF(ROW()&lt;3,"NA",IFERROR(B46/INDEX($B:$B,ROW()-1)-1,"NA"))</f>
        <v>1.8696248286176331E-3</v>
      </c>
      <c r="E46" s="22" cm="1">
        <f t="array" ref="E46">IF(ROW()&lt;5,"NA",IFERROR(B46/INDEX($B:$B,ROW()-3)-1,"NA"))</f>
        <v>4.0412649894192576E-3</v>
      </c>
      <c r="F46" s="23">
        <f t="shared" si="0"/>
        <v>-0.92396555206666175</v>
      </c>
    </row>
    <row r="47" spans="1:6">
      <c r="A47" s="20">
        <v>41518</v>
      </c>
      <c r="B47" s="11">
        <v>136821</v>
      </c>
      <c r="C47" s="22" cm="1">
        <f t="array" ref="C47">IF(ROW()&lt;14,"",IFERROR(B47/INDEX($B:$B,ROW()-12)-1,""))</f>
        <v>1.7127946653582748E-2</v>
      </c>
      <c r="D47" s="22" cm="1">
        <f t="array" ref="D47">IF(ROW()&lt;3,"NA",IFERROR(B47/INDEX($B:$B,ROW()-1)-1,"NA"))</f>
        <v>1.2806814689050317E-3</v>
      </c>
      <c r="E47" s="22" cm="1">
        <f t="array" ref="E47">IF(ROW()&lt;5,"NA",IFERROR(B47/INDEX($B:$B,ROW()-3)-1,"NA"))</f>
        <v>3.9771351418780299E-3</v>
      </c>
      <c r="F47" s="23">
        <f t="shared" si="0"/>
        <v>-0.90437643258324041</v>
      </c>
    </row>
    <row r="48" spans="1:6">
      <c r="A48" s="20">
        <v>41548</v>
      </c>
      <c r="B48" s="11">
        <v>137041</v>
      </c>
      <c r="C48" s="22" cm="1">
        <f t="array" ref="C48">IF(ROW()&lt;14,"",IFERROR(B48/INDEX($B:$B,ROW()-12)-1,""))</f>
        <v>1.7613556200758884E-2</v>
      </c>
      <c r="D48" s="22" cm="1">
        <f t="array" ref="D48">IF(ROW()&lt;3,"NA",IFERROR(B48/INDEX($B:$B,ROW()-1)-1,"NA"))</f>
        <v>1.607940301561861E-3</v>
      </c>
      <c r="E48" s="22" cm="1">
        <f t="array" ref="E48">IF(ROW()&lt;5,"NA",IFERROR(B48/INDEX($B:$B,ROW()-3)-1,"NA"))</f>
        <v>4.7657103474569862E-3</v>
      </c>
      <c r="F48" s="23">
        <f t="shared" si="0"/>
        <v>-0.87975011094693922</v>
      </c>
    </row>
    <row r="49" spans="1:6">
      <c r="A49" s="20">
        <v>41579</v>
      </c>
      <c r="B49" s="11">
        <v>137317</v>
      </c>
      <c r="C49" s="22" cm="1">
        <f t="array" ref="C49">IF(ROW()&lt;14,"",IFERROR(B49/INDEX($B:$B,ROW()-12)-1,""))</f>
        <v>1.8483218987576544E-2</v>
      </c>
      <c r="D49" s="22" cm="1">
        <f t="array" ref="D49">IF(ROW()&lt;3,"NA",IFERROR(B49/INDEX($B:$B,ROW()-1)-1,"NA"))</f>
        <v>2.0139958114724354E-3</v>
      </c>
      <c r="E49" s="22" cm="1">
        <f t="array" ref="E49">IF(ROW()&lt;5,"NA",IFERROR(B49/INDEX($B:$B,ROW()-3)-1,"NA"))</f>
        <v>4.9104986607730883E-3</v>
      </c>
      <c r="F49" s="23">
        <f t="shared" si="0"/>
        <v>-0.84885527107594316</v>
      </c>
    </row>
    <row r="50" spans="1:6">
      <c r="A50" s="20">
        <v>41609</v>
      </c>
      <c r="B50" s="11">
        <v>137372</v>
      </c>
      <c r="C50" s="22" cm="1">
        <f t="array" ref="C50">IF(ROW()&lt;14,"",IFERROR(B50/INDEX($B:$B,ROW()-12)-1,""))</f>
        <v>1.7012896634437391E-2</v>
      </c>
      <c r="D50" s="22" cm="1">
        <f t="array" ref="D50">IF(ROW()&lt;3,"NA",IFERROR(B50/INDEX($B:$B,ROW()-1)-1,"NA"))</f>
        <v>4.005330731082779E-4</v>
      </c>
      <c r="E50" s="22" cm="1">
        <f t="array" ref="E50">IF(ROW()&lt;5,"NA",IFERROR(B50/INDEX($B:$B,ROW()-3)-1,"NA"))</f>
        <v>4.0271595734573395E-3</v>
      </c>
      <c r="F50" s="23">
        <f t="shared" si="0"/>
        <v>-0.84269869066686787</v>
      </c>
    </row>
    <row r="51" spans="1:6">
      <c r="A51" s="20">
        <v>41640</v>
      </c>
      <c r="B51" s="11">
        <v>137561</v>
      </c>
      <c r="C51" s="22" cm="1">
        <f t="array" ref="C51">IF(ROW()&lt;14,"",IFERROR(B51/INDEX($B:$B,ROW()-12)-1,""))</f>
        <v>1.703423852369923E-2</v>
      </c>
      <c r="D51" s="22" cm="1">
        <f t="array" ref="D51">IF(ROW()&lt;3,"NA",IFERROR(B51/INDEX($B:$B,ROW()-1)-1,"NA"))</f>
        <v>1.3758262236844843E-3</v>
      </c>
      <c r="E51" s="22" cm="1">
        <f t="array" ref="E51">IF(ROW()&lt;5,"NA",IFERROR(B51/INDEX($B:$B,ROW()-3)-1,"NA"))</f>
        <v>3.7944848621944693E-3</v>
      </c>
      <c r="F51" s="23">
        <f t="shared" si="0"/>
        <v>-0.82154244162477286</v>
      </c>
    </row>
    <row r="52" spans="1:6">
      <c r="A52" s="20">
        <v>41671</v>
      </c>
      <c r="B52" s="11">
        <v>137712</v>
      </c>
      <c r="C52" s="22" cm="1">
        <f t="array" ref="C52">IF(ROW()&lt;14,"",IFERROR(B52/INDEX($B:$B,ROW()-12)-1,""))</f>
        <v>1.5979814970563444E-2</v>
      </c>
      <c r="D52" s="22" cm="1">
        <f t="array" ref="D52">IF(ROW()&lt;3,"NA",IFERROR(B52/INDEX($B:$B,ROW()-1)-1,"NA"))</f>
        <v>1.097694840834329E-3</v>
      </c>
      <c r="E52" s="22" cm="1">
        <f t="array" ref="E52">IF(ROW()&lt;5,"NA",IFERROR(B52/INDEX($B:$B,ROW()-3)-1,"NA"))</f>
        <v>2.8765557068679559E-3</v>
      </c>
      <c r="F52" s="23">
        <f t="shared" si="0"/>
        <v>-0.80463982995622063</v>
      </c>
    </row>
    <row r="53" spans="1:6">
      <c r="A53" s="20">
        <v>41699</v>
      </c>
      <c r="B53" s="11">
        <v>137985</v>
      </c>
      <c r="C53" s="22" cm="1">
        <f t="array" ref="C53">IF(ROW()&lt;14,"",IFERROR(B53/INDEX($B:$B,ROW()-12)-1,""))</f>
        <v>1.6921047395146216E-2</v>
      </c>
      <c r="D53" s="22" cm="1">
        <f t="array" ref="D53">IF(ROW()&lt;3,"NA",IFERROR(B53/INDEX($B:$B,ROW()-1)-1,"NA"))</f>
        <v>1.9823980481004089E-3</v>
      </c>
      <c r="E53" s="22" cm="1">
        <f t="array" ref="E53">IF(ROW()&lt;5,"NA",IFERROR(B53/INDEX($B:$B,ROW()-3)-1,"NA"))</f>
        <v>4.462335847188692E-3</v>
      </c>
      <c r="F53" s="23">
        <f t="shared" si="0"/>
        <v>-0.77408080356208331</v>
      </c>
    </row>
    <row r="54" spans="1:6">
      <c r="A54" s="20">
        <v>41730</v>
      </c>
      <c r="B54" s="11">
        <v>138298</v>
      </c>
      <c r="C54" s="22" cm="1">
        <f t="array" ref="C54">IF(ROW()&lt;14,"",IFERROR(B54/INDEX($B:$B,ROW()-12)-1,""))</f>
        <v>1.7847548813965997E-2</v>
      </c>
      <c r="D54" s="22" cm="1">
        <f t="array" ref="D54">IF(ROW()&lt;3,"NA",IFERROR(B54/INDEX($B:$B,ROW()-1)-1,"NA"))</f>
        <v>2.268362503170529E-3</v>
      </c>
      <c r="E54" s="22" cm="1">
        <f t="array" ref="E54">IF(ROW()&lt;5,"NA",IFERROR(B54/INDEX($B:$B,ROW()-3)-1,"NA"))</f>
        <v>5.3576231635419358E-3</v>
      </c>
      <c r="F54" s="23">
        <f t="shared" si="0"/>
        <v>-0.73904426414316382</v>
      </c>
    </row>
    <row r="55" spans="1:6">
      <c r="A55" s="20">
        <v>41760</v>
      </c>
      <c r="B55" s="11">
        <v>138513</v>
      </c>
      <c r="C55" s="22" cm="1">
        <f t="array" ref="C55">IF(ROW()&lt;14,"",IFERROR(B55/INDEX($B:$B,ROW()-12)-1,""))</f>
        <v>1.7759522689865914E-2</v>
      </c>
      <c r="D55" s="22" cm="1">
        <f t="array" ref="D55">IF(ROW()&lt;3,"NA",IFERROR(B55/INDEX($B:$B,ROW()-1)-1,"NA"))</f>
        <v>1.5546139495872247E-3</v>
      </c>
      <c r="E55" s="22" cm="1">
        <f t="array" ref="E55">IF(ROW()&lt;5,"NA",IFERROR(B55/INDEX($B:$B,ROW()-3)-1,"NA"))</f>
        <v>5.8164865806902277E-3</v>
      </c>
      <c r="F55" s="23">
        <f t="shared" si="0"/>
        <v>-0.71497763163496042</v>
      </c>
    </row>
    <row r="56" spans="1:6">
      <c r="A56" s="20">
        <v>41791</v>
      </c>
      <c r="B56" s="11">
        <v>138849</v>
      </c>
      <c r="C56" s="22" cm="1">
        <f t="array" ref="C56">IF(ROW()&lt;14,"",IFERROR(B56/INDEX($B:$B,ROW()-12)-1,""))</f>
        <v>1.8858371429200327E-2</v>
      </c>
      <c r="D56" s="22" cm="1">
        <f t="array" ref="D56">IF(ROW()&lt;3,"NA",IFERROR(B56/INDEX($B:$B,ROW()-1)-1,"NA"))</f>
        <v>2.4257650906414074E-3</v>
      </c>
      <c r="E56" s="22" cm="1">
        <f t="array" ref="E56">IF(ROW()&lt;5,"NA",IFERROR(B56/INDEX($B:$B,ROW()-3)-1,"NA"))</f>
        <v>6.2615501684966102E-3</v>
      </c>
      <c r="F56" s="23">
        <f t="shared" si="0"/>
        <v>-0.67736652222679139</v>
      </c>
    </row>
    <row r="57" spans="1:6">
      <c r="A57" s="20">
        <v>41821</v>
      </c>
      <c r="B57" s="11">
        <v>139072</v>
      </c>
      <c r="C57" s="22" cm="1">
        <f t="array" ref="C57">IF(ROW()&lt;14,"",IFERROR(B57/INDEX($B:$B,ROW()-12)-1,""))</f>
        <v>1.9656722217741729E-2</v>
      </c>
      <c r="D57" s="22" cm="1">
        <f t="array" ref="D57">IF(ROW()&lt;3,"NA",IFERROR(B57/INDEX($B:$B,ROW()-1)-1,"NA"))</f>
        <v>1.6060612607939895E-3</v>
      </c>
      <c r="E57" s="22" cm="1">
        <f t="array" ref="E57">IF(ROW()&lt;5,"NA",IFERROR(B57/INDEX($B:$B,ROW()-3)-1,"NA"))</f>
        <v>5.5966102185136535E-3</v>
      </c>
      <c r="F57" s="23">
        <f t="shared" si="0"/>
        <v>-0.65240438711363158</v>
      </c>
    </row>
    <row r="58" spans="1:6">
      <c r="A58" s="20">
        <v>41852</v>
      </c>
      <c r="B58" s="11">
        <v>139269</v>
      </c>
      <c r="C58" s="22" cm="1">
        <f t="array" ref="C58">IF(ROW()&lt;14,"",IFERROR(B58/INDEX($B:$B,ROW()-12)-1,""))</f>
        <v>1.9195585673931204E-2</v>
      </c>
      <c r="D58" s="22" cm="1">
        <f t="array" ref="D58">IF(ROW()&lt;3,"NA",IFERROR(B58/INDEX($B:$B,ROW()-1)-1,"NA"))</f>
        <v>1.4165324436263838E-3</v>
      </c>
      <c r="E58" s="22" cm="1">
        <f t="array" ref="E58">IF(ROW()&lt;5,"NA",IFERROR(B58/INDEX($B:$B,ROW()-3)-1,"NA"))</f>
        <v>5.4579714539428892E-3</v>
      </c>
      <c r="F58" s="23">
        <f t="shared" si="0"/>
        <v>-0.63035263546658005</v>
      </c>
    </row>
    <row r="59" spans="1:6">
      <c r="A59" s="20">
        <v>41883</v>
      </c>
      <c r="B59" s="11">
        <v>139563</v>
      </c>
      <c r="C59" s="22" cm="1">
        <f t="array" ref="C59">IF(ROW()&lt;14,"",IFERROR(B59/INDEX($B:$B,ROW()-12)-1,""))</f>
        <v>2.0040783213103319E-2</v>
      </c>
      <c r="D59" s="22" cm="1">
        <f t="array" ref="D59">IF(ROW()&lt;3,"NA",IFERROR(B59/INDEX($B:$B,ROW()-1)-1,"NA"))</f>
        <v>2.1110225534757276E-3</v>
      </c>
      <c r="E59" s="22" cm="1">
        <f t="array" ref="E59">IF(ROW()&lt;5,"NA",IFERROR(B59/INDEX($B:$B,ROW()-3)-1,"NA"))</f>
        <v>5.1422768619147075E-3</v>
      </c>
      <c r="F59" s="23">
        <f t="shared" si="0"/>
        <v>-0.59744291473443212</v>
      </c>
    </row>
    <row r="60" spans="1:6">
      <c r="A60" s="20">
        <v>41913</v>
      </c>
      <c r="B60" s="11">
        <v>139798</v>
      </c>
      <c r="C60" s="22" cm="1">
        <f t="array" ref="C60">IF(ROW()&lt;14,"",IFERROR(B60/INDEX($B:$B,ROW()-12)-1,""))</f>
        <v>2.0118066855904448E-2</v>
      </c>
      <c r="D60" s="22" cm="1">
        <f t="array" ref="D60">IF(ROW()&lt;3,"NA",IFERROR(B60/INDEX($B:$B,ROW()-1)-1,"NA"))</f>
        <v>1.6838273754504751E-3</v>
      </c>
      <c r="E60" s="22" cm="1">
        <f t="array" ref="E60">IF(ROW()&lt;5,"NA",IFERROR(B60/INDEX($B:$B,ROW()-3)-1,"NA"))</f>
        <v>5.2203175333640495E-3</v>
      </c>
      <c r="F60" s="23">
        <f t="shared" si="0"/>
        <v>-0.57113752571383769</v>
      </c>
    </row>
    <row r="61" spans="1:6">
      <c r="A61" s="20">
        <v>41944</v>
      </c>
      <c r="B61" s="11">
        <v>140089</v>
      </c>
      <c r="C61" s="22" cm="1">
        <f t="array" ref="C61">IF(ROW()&lt;14,"",IFERROR(B61/INDEX($B:$B,ROW()-12)-1,""))</f>
        <v>2.0186866884653654E-2</v>
      </c>
      <c r="D61" s="22" cm="1">
        <f t="array" ref="D61">IF(ROW()&lt;3,"NA",IFERROR(B61/INDEX($B:$B,ROW()-1)-1,"NA"))</f>
        <v>2.0815748437030823E-3</v>
      </c>
      <c r="E61" s="22" cm="1">
        <f t="array" ref="E61">IF(ROW()&lt;5,"NA",IFERROR(B61/INDEX($B:$B,ROW()-3)-1,"NA"))</f>
        <v>5.8878860335034311E-3</v>
      </c>
      <c r="F61" s="23">
        <f t="shared" si="0"/>
        <v>-0.53856361845854839</v>
      </c>
    </row>
    <row r="62" spans="1:6">
      <c r="A62" s="20">
        <v>41974</v>
      </c>
      <c r="B62" s="11">
        <v>140364</v>
      </c>
      <c r="C62" s="22" cm="1">
        <f t="array" ref="C62">IF(ROW()&lt;14,"",IFERROR(B62/INDEX($B:$B,ROW()-12)-1,""))</f>
        <v>2.1780275456424913E-2</v>
      </c>
      <c r="D62" s="22" cm="1">
        <f t="array" ref="D62">IF(ROW()&lt;3,"NA",IFERROR(B62/INDEX($B:$B,ROW()-1)-1,"NA"))</f>
        <v>1.9630377831236778E-3</v>
      </c>
      <c r="E62" s="22" cm="1">
        <f t="array" ref="E62">IF(ROW()&lt;5,"NA",IFERROR(B62/INDEX($B:$B,ROW()-3)-1,"NA"))</f>
        <v>5.739343522280338E-3</v>
      </c>
      <c r="F62" s="23">
        <f t="shared" si="0"/>
        <v>-0.50778071641317191</v>
      </c>
    </row>
    <row r="63" spans="1:6">
      <c r="A63" s="20">
        <v>42005</v>
      </c>
      <c r="B63" s="11">
        <v>140568</v>
      </c>
      <c r="C63" s="22" cm="1">
        <f t="array" ref="C63">IF(ROW()&lt;14,"",IFERROR(B63/INDEX($B:$B,ROW()-12)-1,""))</f>
        <v>2.1859393287341655E-2</v>
      </c>
      <c r="D63" s="22" cm="1">
        <f t="array" ref="D63">IF(ROW()&lt;3,"NA",IFERROR(B63/INDEX($B:$B,ROW()-1)-1,"NA"))</f>
        <v>1.4533641104557127E-3</v>
      </c>
      <c r="E63" s="22" cm="1">
        <f t="array" ref="E63">IF(ROW()&lt;5,"NA",IFERROR(B63/INDEX($B:$B,ROW()-3)-1,"NA"))</f>
        <v>5.5079471809325042E-3</v>
      </c>
      <c r="F63" s="23">
        <f t="shared" si="0"/>
        <v>-0.48494539998678354</v>
      </c>
    </row>
    <row r="64" spans="1:6">
      <c r="A64" s="20">
        <v>42036</v>
      </c>
      <c r="B64" s="11">
        <v>140827</v>
      </c>
      <c r="C64" s="22" cm="1">
        <f t="array" ref="C64">IF(ROW()&lt;14,"",IFERROR(B64/INDEX($B:$B,ROW()-12)-1,""))</f>
        <v>2.2619670036017281E-2</v>
      </c>
      <c r="D64" s="22" cm="1">
        <f t="array" ref="D64">IF(ROW()&lt;3,"NA",IFERROR(B64/INDEX($B:$B,ROW()-1)-1,"NA"))</f>
        <v>1.8425246144215812E-3</v>
      </c>
      <c r="E64" s="22" cm="1">
        <f t="array" ref="E64">IF(ROW()&lt;5,"NA",IFERROR(B64/INDEX($B:$B,ROW()-3)-1,"NA"))</f>
        <v>5.2680795779824763E-3</v>
      </c>
      <c r="F64" s="23">
        <f t="shared" si="0"/>
        <v>-0.45595350315131988</v>
      </c>
    </row>
    <row r="65" spans="1:6">
      <c r="A65" s="20">
        <v>42064</v>
      </c>
      <c r="B65" s="11">
        <v>140923</v>
      </c>
      <c r="C65" s="22" cm="1">
        <f t="array" ref="C65">IF(ROW()&lt;14,"",IFERROR(B65/INDEX($B:$B,ROW()-12)-1,""))</f>
        <v>2.1292169438707154E-2</v>
      </c>
      <c r="D65" s="22" cm="1">
        <f t="array" ref="D65">IF(ROW()&lt;3,"NA",IFERROR(B65/INDEX($B:$B,ROW()-1)-1,"NA"))</f>
        <v>6.8168746050112361E-4</v>
      </c>
      <c r="E65" s="22" cm="1">
        <f t="array" ref="E65">IF(ROW()&lt;5,"NA",IFERROR(B65/INDEX($B:$B,ROW()-3)-1,"NA"))</f>
        <v>3.9825026360036375E-3</v>
      </c>
      <c r="F65" s="23">
        <f t="shared" si="0"/>
        <v>-0.44520747189184301</v>
      </c>
    </row>
    <row r="66" spans="1:6">
      <c r="A66" s="20">
        <v>42095</v>
      </c>
      <c r="B66" s="11">
        <v>141196</v>
      </c>
      <c r="C66" s="22" cm="1">
        <f t="array" ref="C66">IF(ROW()&lt;14,"",IFERROR(B66/INDEX($B:$B,ROW()-12)-1,""))</f>
        <v>2.095474988792323E-2</v>
      </c>
      <c r="D66" s="22" cm="1">
        <f t="array" ref="D66">IF(ROW()&lt;3,"NA",IFERROR(B66/INDEX($B:$B,ROW()-1)-1,"NA"))</f>
        <v>1.9372281316747397E-3</v>
      </c>
      <c r="E66" s="22" cm="1">
        <f t="array" ref="E66">IF(ROW()&lt;5,"NA",IFERROR(B66/INDEX($B:$B,ROW()-3)-1,"NA"))</f>
        <v>4.4675886403733323E-3</v>
      </c>
      <c r="F66" s="23">
        <f t="shared" si="0"/>
        <v>-0.41464844549770563</v>
      </c>
    </row>
    <row r="67" spans="1:6">
      <c r="A67" s="20">
        <v>42125</v>
      </c>
      <c r="B67" s="11">
        <v>141538</v>
      </c>
      <c r="C67" s="22" cm="1">
        <f t="array" ref="C67">IF(ROW()&lt;14,"",IFERROR(B67/INDEX($B:$B,ROW()-12)-1,""))</f>
        <v>2.1839105354731991E-2</v>
      </c>
      <c r="D67" s="22" cm="1">
        <f t="array" ref="D67">IF(ROW()&lt;3,"NA",IFERROR(B67/INDEX($B:$B,ROW()-1)-1,"NA"))</f>
        <v>2.4221649338507234E-3</v>
      </c>
      <c r="E67" s="22" cm="1">
        <f t="array" ref="E67">IF(ROW()&lt;5,"NA",IFERROR(B67/INDEX($B:$B,ROW()-3)-1,"NA"))</f>
        <v>5.0487477543368353E-3</v>
      </c>
      <c r="F67" s="23">
        <f t="shared" si="0"/>
        <v>-0.37636570913581929</v>
      </c>
    </row>
    <row r="68" spans="1:6">
      <c r="A68" s="20">
        <v>42156</v>
      </c>
      <c r="B68" s="11">
        <v>141709</v>
      </c>
      <c r="C68" s="22" cm="1">
        <f t="array" ref="C68">IF(ROW()&lt;14,"",IFERROR(B68/INDEX($B:$B,ROW()-12)-1,""))</f>
        <v>2.0597915721395132E-2</v>
      </c>
      <c r="D68" s="22" cm="1">
        <f t="array" ref="D68">IF(ROW()&lt;3,"NA",IFERROR(B68/INDEX($B:$B,ROW()-1)-1,"NA"))</f>
        <v>1.2081561135526275E-3</v>
      </c>
      <c r="E68" s="22" cm="1">
        <f t="array" ref="E68">IF(ROW()&lt;5,"NA",IFERROR(B68/INDEX($B:$B,ROW()-3)-1,"NA"))</f>
        <v>5.5775139615250602E-3</v>
      </c>
      <c r="F68" s="23">
        <f t="shared" ref="F68:F131" si="1">IFERROR((B68-AVERAGE($B:$B))/_xlfn.STDEV.S($B:$B),"")</f>
        <v>-0.3572243409548761</v>
      </c>
    </row>
    <row r="69" spans="1:6">
      <c r="A69" s="20">
        <v>42186</v>
      </c>
      <c r="B69" s="11">
        <v>141991</v>
      </c>
      <c r="C69" s="22" cm="1">
        <f t="array" ref="C69">IF(ROW()&lt;14,"",IFERROR(B69/INDEX($B:$B,ROW()-12)-1,""))</f>
        <v>2.0989127933732199E-2</v>
      </c>
      <c r="D69" s="22" cm="1">
        <f t="array" ref="D69">IF(ROW()&lt;3,"NA",IFERROR(B69/INDEX($B:$B,ROW()-1)-1,"NA"))</f>
        <v>1.9899935783895817E-3</v>
      </c>
      <c r="E69" s="22" cm="1">
        <f t="array" ref="E69">IF(ROW()&lt;5,"NA",IFERROR(B69/INDEX($B:$B,ROW()-3)-1,"NA"))</f>
        <v>5.6304711181620615E-3</v>
      </c>
      <c r="F69" s="23">
        <f t="shared" si="1"/>
        <v>-0.32565787413016278</v>
      </c>
    </row>
    <row r="70" spans="1:6">
      <c r="A70" s="20">
        <v>42217</v>
      </c>
      <c r="B70" s="11">
        <v>142125</v>
      </c>
      <c r="C70" s="22" cm="1">
        <f t="array" ref="C70">IF(ROW()&lt;14,"",IFERROR(B70/INDEX($B:$B,ROW()-12)-1,""))</f>
        <v>2.0507076233763355E-2</v>
      </c>
      <c r="D70" s="22" cm="1">
        <f t="array" ref="D70">IF(ROW()&lt;3,"NA",IFERROR(B70/INDEX($B:$B,ROW()-1)-1,"NA"))</f>
        <v>9.4372178518353778E-4</v>
      </c>
      <c r="E70" s="22" cm="1">
        <f t="array" ref="E70">IF(ROW()&lt;5,"NA",IFERROR(B70/INDEX($B:$B,ROW()-3)-1,"NA"))</f>
        <v>4.1472961324873214E-3</v>
      </c>
      <c r="F70" s="23">
        <f t="shared" si="1"/>
        <v>-0.31065820549714296</v>
      </c>
    </row>
    <row r="71" spans="1:6">
      <c r="A71" s="20">
        <v>42248</v>
      </c>
      <c r="B71" s="11">
        <v>142275</v>
      </c>
      <c r="C71" s="22" cm="1">
        <f t="array" ref="C71">IF(ROW()&lt;14,"",IFERROR(B71/INDEX($B:$B,ROW()-12)-1,""))</f>
        <v>1.9432084434986452E-2</v>
      </c>
      <c r="D71" s="22" cm="1">
        <f t="array" ref="D71">IF(ROW()&lt;3,"NA",IFERROR(B71/INDEX($B:$B,ROW()-1)-1,"NA"))</f>
        <v>1.0554089709762238E-3</v>
      </c>
      <c r="E71" s="22" cm="1">
        <f t="array" ref="E71">IF(ROW()&lt;5,"NA",IFERROR(B71/INDEX($B:$B,ROW()-3)-1,"NA"))</f>
        <v>3.9941005864130297E-3</v>
      </c>
      <c r="F71" s="23">
        <f t="shared" si="1"/>
        <v>-0.29386753165421031</v>
      </c>
    </row>
    <row r="72" spans="1:6">
      <c r="A72" s="20">
        <v>42278</v>
      </c>
      <c r="B72" s="11">
        <v>142579</v>
      </c>
      <c r="C72" s="22" cm="1">
        <f t="array" ref="C72">IF(ROW()&lt;14,"",IFERROR(B72/INDEX($B:$B,ROW()-12)-1,""))</f>
        <v>1.9892988454770499E-2</v>
      </c>
      <c r="D72" s="22" cm="1">
        <f t="array" ref="D72">IF(ROW()&lt;3,"NA",IFERROR(B72/INDEX($B:$B,ROW()-1)-1,"NA"))</f>
        <v>2.1367070813564926E-3</v>
      </c>
      <c r="E72" s="22" cm="1">
        <f t="array" ref="E72">IF(ROW()&lt;5,"NA",IFERROR(B72/INDEX($B:$B,ROW()-3)-1,"NA"))</f>
        <v>4.1411075349846449E-3</v>
      </c>
      <c r="F72" s="23">
        <f t="shared" si="1"/>
        <v>-0.25983843266586687</v>
      </c>
    </row>
    <row r="73" spans="1:6">
      <c r="A73" s="20">
        <v>42309</v>
      </c>
      <c r="B73" s="11">
        <v>142808</v>
      </c>
      <c r="C73" s="22" cm="1">
        <f t="array" ref="C73">IF(ROW()&lt;14,"",IFERROR(B73/INDEX($B:$B,ROW()-12)-1,""))</f>
        <v>1.9409089935683799E-2</v>
      </c>
      <c r="D73" s="22" cm="1">
        <f t="array" ref="D73">IF(ROW()&lt;3,"NA",IFERROR(B73/INDEX($B:$B,ROW()-1)-1,"NA"))</f>
        <v>1.6061271295211288E-3</v>
      </c>
      <c r="E73" s="22" cm="1">
        <f t="array" ref="E73">IF(ROW()&lt;5,"NA",IFERROR(B73/INDEX($B:$B,ROW()-3)-1,"NA"))</f>
        <v>4.8056288478453002E-3</v>
      </c>
      <c r="F73" s="23">
        <f t="shared" si="1"/>
        <v>-0.23420467059898975</v>
      </c>
    </row>
    <row r="74" spans="1:6">
      <c r="A74" s="20">
        <v>42339</v>
      </c>
      <c r="B74" s="11">
        <v>143077</v>
      </c>
      <c r="C74" s="22" cm="1">
        <f t="array" ref="C74">IF(ROW()&lt;14,"",IFERROR(B74/INDEX($B:$B,ROW()-12)-1,""))</f>
        <v>1.9328317802285389E-2</v>
      </c>
      <c r="D74" s="22" cm="1">
        <f t="array" ref="D74">IF(ROW()&lt;3,"NA",IFERROR(B74/INDEX($B:$B,ROW()-1)-1,"NA"))</f>
        <v>1.8836479749033685E-3</v>
      </c>
      <c r="E74" s="22" cm="1">
        <f t="array" ref="E74">IF(ROW()&lt;5,"NA",IFERROR(B74/INDEX($B:$B,ROW()-3)-1,"NA"))</f>
        <v>5.6369706554209031E-3</v>
      </c>
      <c r="F74" s="23">
        <f t="shared" si="1"/>
        <v>-0.20409339550733058</v>
      </c>
    </row>
    <row r="75" spans="1:6">
      <c r="A75" s="20">
        <v>42370</v>
      </c>
      <c r="B75" s="11">
        <v>143210</v>
      </c>
      <c r="C75" s="22" cm="1">
        <f t="array" ref="C75">IF(ROW()&lt;14,"",IFERROR(B75/INDEX($B:$B,ROW()-12)-1,""))</f>
        <v>1.8795173866029247E-2</v>
      </c>
      <c r="D75" s="22" cm="1">
        <f t="array" ref="D75">IF(ROW()&lt;3,"NA",IFERROR(B75/INDEX($B:$B,ROW()-1)-1,"NA"))</f>
        <v>9.2956939270472105E-4</v>
      </c>
      <c r="E75" s="22" cm="1">
        <f t="array" ref="E75">IF(ROW()&lt;5,"NA",IFERROR(B75/INDEX($B:$B,ROW()-3)-1,"NA"))</f>
        <v>4.425616675667543E-3</v>
      </c>
      <c r="F75" s="23">
        <f t="shared" si="1"/>
        <v>-0.18920566469993033</v>
      </c>
    </row>
    <row r="76" spans="1:6">
      <c r="A76" s="20">
        <v>42401</v>
      </c>
      <c r="B76" s="11">
        <v>143406</v>
      </c>
      <c r="C76" s="22" cm="1">
        <f t="array" ref="C76">IF(ROW()&lt;14,"",IFERROR(B76/INDEX($B:$B,ROW()-12)-1,""))</f>
        <v>1.8313249589922309E-2</v>
      </c>
      <c r="D76" s="22" cm="1">
        <f t="array" ref="D76">IF(ROW()&lt;3,"NA",IFERROR(B76/INDEX($B:$B,ROW()-1)-1,"NA"))</f>
        <v>1.36861950981082E-3</v>
      </c>
      <c r="E76" s="22" cm="1">
        <f t="array" ref="E76">IF(ROW()&lt;5,"NA",IFERROR(B76/INDEX($B:$B,ROW()-3)-1,"NA"))</f>
        <v>4.1874404795250175E-3</v>
      </c>
      <c r="F76" s="23">
        <f t="shared" si="1"/>
        <v>-0.16726585087849838</v>
      </c>
    </row>
    <row r="77" spans="1:6">
      <c r="A77" s="20">
        <v>42430</v>
      </c>
      <c r="B77" s="11">
        <v>143662</v>
      </c>
      <c r="C77" s="22" cm="1">
        <f t="array" ref="C77">IF(ROW()&lt;14,"",IFERROR(B77/INDEX($B:$B,ROW()-12)-1,""))</f>
        <v>1.9436145980429087E-2</v>
      </c>
      <c r="D77" s="22" cm="1">
        <f t="array" ref="D77">IF(ROW()&lt;3,"NA",IFERROR(B77/INDEX($B:$B,ROW()-1)-1,"NA"))</f>
        <v>1.7851414864091808E-3</v>
      </c>
      <c r="E77" s="22" cm="1">
        <f t="array" ref="E77">IF(ROW()&lt;5,"NA",IFERROR(B77/INDEX($B:$B,ROW()-3)-1,"NA"))</f>
        <v>4.0887074791895461E-3</v>
      </c>
      <c r="F77" s="23">
        <f t="shared" si="1"/>
        <v>-0.13860976751989337</v>
      </c>
    </row>
    <row r="78" spans="1:6">
      <c r="A78" s="20">
        <v>42461</v>
      </c>
      <c r="B78" s="11">
        <v>143854</v>
      </c>
      <c r="C78" s="22" cm="1">
        <f t="array" ref="C78">IF(ROW()&lt;14,"",IFERROR(B78/INDEX($B:$B,ROW()-12)-1,""))</f>
        <v>1.8824895889401949E-2</v>
      </c>
      <c r="D78" s="22" cm="1">
        <f t="array" ref="D78">IF(ROW()&lt;3,"NA",IFERROR(B78/INDEX($B:$B,ROW()-1)-1,"NA"))</f>
        <v>1.3364703261822264E-3</v>
      </c>
      <c r="E78" s="22" cm="1">
        <f t="array" ref="E78">IF(ROW()&lt;5,"NA",IFERROR(B78/INDEX($B:$B,ROW()-3)-1,"NA"))</f>
        <v>4.4968926750925675E-3</v>
      </c>
      <c r="F78" s="23">
        <f t="shared" si="1"/>
        <v>-0.11711770500093961</v>
      </c>
    </row>
    <row r="79" spans="1:6">
      <c r="A79" s="20">
        <v>42491</v>
      </c>
      <c r="B79" s="11">
        <v>143900</v>
      </c>
      <c r="C79" s="22" cm="1">
        <f t="array" ref="C79">IF(ROW()&lt;14,"",IFERROR(B79/INDEX($B:$B,ROW()-12)-1,""))</f>
        <v>1.6688097895971366E-2</v>
      </c>
      <c r="D79" s="22" cm="1">
        <f t="array" ref="D79">IF(ROW()&lt;3,"NA",IFERROR(B79/INDEX($B:$B,ROW()-1)-1,"NA"))</f>
        <v>3.1976865433014368E-4</v>
      </c>
      <c r="E79" s="22" cm="1">
        <f t="array" ref="E79">IF(ROW()&lt;5,"NA",IFERROR(B79/INDEX($B:$B,ROW()-3)-1,"NA"))</f>
        <v>3.4447652120552785E-3</v>
      </c>
      <c r="F79" s="23">
        <f t="shared" si="1"/>
        <v>-0.11196856502244028</v>
      </c>
    </row>
    <row r="80" spans="1:6">
      <c r="A80" s="20">
        <v>42522</v>
      </c>
      <c r="B80" s="11">
        <v>144147</v>
      </c>
      <c r="C80" s="22" cm="1">
        <f t="array" ref="C80">IF(ROW()&lt;14,"",IFERROR(B80/INDEX($B:$B,ROW()-12)-1,""))</f>
        <v>1.7204270723807147E-2</v>
      </c>
      <c r="D80" s="22" cm="1">
        <f t="array" ref="D80">IF(ROW()&lt;3,"NA",IFERROR(B80/INDEX($B:$B,ROW()-1)-1,"NA"))</f>
        <v>1.7164697706741894E-3</v>
      </c>
      <c r="E80" s="22" cm="1">
        <f t="array" ref="E80">IF(ROW()&lt;5,"NA",IFERROR(B80/INDEX($B:$B,ROW()-3)-1,"NA"))</f>
        <v>3.375979730199985E-3</v>
      </c>
      <c r="F80" s="23">
        <f t="shared" si="1"/>
        <v>-8.4319922094411234E-2</v>
      </c>
    </row>
    <row r="81" spans="1:6">
      <c r="A81" s="20">
        <v>42552</v>
      </c>
      <c r="B81" s="11">
        <v>144520</v>
      </c>
      <c r="C81" s="22" cm="1">
        <f t="array" ref="C81">IF(ROW()&lt;14,"",IFERROR(B81/INDEX($B:$B,ROW()-12)-1,""))</f>
        <v>1.7810988020367402E-2</v>
      </c>
      <c r="D81" s="22" cm="1">
        <f t="array" ref="D81">IF(ROW()&lt;3,"NA",IFERROR(B81/INDEX($B:$B,ROW()-1)-1,"NA"))</f>
        <v>2.5876362324570579E-3</v>
      </c>
      <c r="E81" s="22" cm="1">
        <f t="array" ref="E81">IF(ROW()&lt;5,"NA",IFERROR(B81/INDEX($B:$B,ROW()-3)-1,"NA"))</f>
        <v>4.6296939953007765E-3</v>
      </c>
      <c r="F81" s="23">
        <f t="shared" si="1"/>
        <v>-4.2567113138318784E-2</v>
      </c>
    </row>
    <row r="82" spans="1:6">
      <c r="A82" s="20">
        <v>42583</v>
      </c>
      <c r="B82" s="11">
        <v>144661</v>
      </c>
      <c r="C82" s="22" cm="1">
        <f t="array" ref="C82">IF(ROW()&lt;14,"",IFERROR(B82/INDEX($B:$B,ROW()-12)-1,""))</f>
        <v>1.7843447669305235E-2</v>
      </c>
      <c r="D82" s="22" cm="1">
        <f t="array" ref="D82">IF(ROW()&lt;3,"NA",IFERROR(B82/INDEX($B:$B,ROW()-1)-1,"NA"))</f>
        <v>9.7564350954892909E-4</v>
      </c>
      <c r="E82" s="22" cm="1">
        <f t="array" ref="E82">IF(ROW()&lt;5,"NA",IFERROR(B82/INDEX($B:$B,ROW()-3)-1,"NA"))</f>
        <v>5.2883947185544677E-3</v>
      </c>
      <c r="F82" s="23">
        <f t="shared" si="1"/>
        <v>-2.6783879725962124E-2</v>
      </c>
    </row>
    <row r="83" spans="1:6">
      <c r="A83" s="20">
        <v>42614</v>
      </c>
      <c r="B83" s="11">
        <v>144967</v>
      </c>
      <c r="C83" s="22" cm="1">
        <f t="array" ref="C83">IF(ROW()&lt;14,"",IFERROR(B83/INDEX($B:$B,ROW()-12)-1,""))</f>
        <v>1.8921103496749359E-2</v>
      </c>
      <c r="D83" s="22" cm="1">
        <f t="array" ref="D83">IF(ROW()&lt;3,"NA",IFERROR(B83/INDEX($B:$B,ROW()-1)-1,"NA"))</f>
        <v>2.1152902302625787E-3</v>
      </c>
      <c r="E83" s="22" cm="1">
        <f t="array" ref="E83">IF(ROW()&lt;5,"NA",IFERROR(B83/INDEX($B:$B,ROW()-3)-1,"NA"))</f>
        <v>5.6886372938735885E-3</v>
      </c>
      <c r="F83" s="23">
        <f t="shared" si="1"/>
        <v>7.4690949136204214E-3</v>
      </c>
    </row>
    <row r="84" spans="1:6">
      <c r="A84" s="20">
        <v>42644</v>
      </c>
      <c r="B84" s="11">
        <v>145065</v>
      </c>
      <c r="C84" s="22" cm="1">
        <f t="array" ref="C84">IF(ROW()&lt;14,"",IFERROR(B84/INDEX($B:$B,ROW()-12)-1,""))</f>
        <v>1.743594779034785E-2</v>
      </c>
      <c r="D84" s="22" cm="1">
        <f t="array" ref="D84">IF(ROW()&lt;3,"NA",IFERROR(B84/INDEX($B:$B,ROW()-1)-1,"NA"))</f>
        <v>6.760159208647476E-4</v>
      </c>
      <c r="E84" s="22" cm="1">
        <f t="array" ref="E84">IF(ROW()&lt;5,"NA",IFERROR(B84/INDEX($B:$B,ROW()-3)-1,"NA"))</f>
        <v>3.7711043454193849E-3</v>
      </c>
      <c r="F84" s="23">
        <f t="shared" si="1"/>
        <v>1.8439001824336401E-2</v>
      </c>
    </row>
    <row r="85" spans="1:6">
      <c r="A85" s="20">
        <v>42675</v>
      </c>
      <c r="B85" s="11">
        <v>145183</v>
      </c>
      <c r="C85" s="22" cm="1">
        <f t="array" ref="C85">IF(ROW()&lt;14,"",IFERROR(B85/INDEX($B:$B,ROW()-12)-1,""))</f>
        <v>1.6630720968012991E-2</v>
      </c>
      <c r="D85" s="22" cm="1">
        <f t="array" ref="D85">IF(ROW()&lt;3,"NA",IFERROR(B85/INDEX($B:$B,ROW()-1)-1,"NA"))</f>
        <v>8.1342846310272776E-4</v>
      </c>
      <c r="E85" s="22" cm="1">
        <f t="array" ref="E85">IF(ROW()&lt;5,"NA",IFERROR(B85/INDEX($B:$B,ROW()-3)-1,"NA"))</f>
        <v>3.6084362751536148E-3</v>
      </c>
      <c r="F85" s="23">
        <f t="shared" si="1"/>
        <v>3.1647665247443398E-2</v>
      </c>
    </row>
    <row r="86" spans="1:6">
      <c r="A86" s="20">
        <v>42705</v>
      </c>
      <c r="B86" s="11">
        <v>145408</v>
      </c>
      <c r="C86" s="22" cm="1">
        <f t="array" ref="C86">IF(ROW()&lt;14,"",IFERROR(B86/INDEX($B:$B,ROW()-12)-1,""))</f>
        <v>1.6291926724770533E-2</v>
      </c>
      <c r="D86" s="22" cm="1">
        <f t="array" ref="D86">IF(ROW()&lt;3,"NA",IFERROR(B86/INDEX($B:$B,ROW()-1)-1,"NA"))</f>
        <v>1.5497682235523502E-3</v>
      </c>
      <c r="E86" s="22" cm="1">
        <f t="array" ref="E86">IF(ROW()&lt;5,"NA",IFERROR(B86/INDEX($B:$B,ROW()-3)-1,"NA"))</f>
        <v>3.0420716438914752E-3</v>
      </c>
      <c r="F86" s="23">
        <f t="shared" si="1"/>
        <v>5.6833676011842325E-2</v>
      </c>
    </row>
    <row r="87" spans="1:6">
      <c r="A87" s="20">
        <v>42736</v>
      </c>
      <c r="B87" s="11">
        <v>145628</v>
      </c>
      <c r="C87" s="22" cm="1">
        <f t="array" ref="C87">IF(ROW()&lt;14,"",IFERROR(B87/INDEX($B:$B,ROW()-12)-1,""))</f>
        <v>1.6884295789400205E-2</v>
      </c>
      <c r="D87" s="22" cm="1">
        <f t="array" ref="D87">IF(ROW()&lt;3,"NA",IFERROR(B87/INDEX($B:$B,ROW()-1)-1,"NA"))</f>
        <v>1.5129841549295087E-3</v>
      </c>
      <c r="E87" s="22" cm="1">
        <f t="array" ref="E87">IF(ROW()&lt;5,"NA",IFERROR(B87/INDEX($B:$B,ROW()-3)-1,"NA"))</f>
        <v>3.8810188536173573E-3</v>
      </c>
      <c r="F87" s="23">
        <f t="shared" si="1"/>
        <v>8.1459997648143503E-2</v>
      </c>
    </row>
    <row r="88" spans="1:6">
      <c r="A88" s="20">
        <v>42767</v>
      </c>
      <c r="B88" s="11">
        <v>145846</v>
      </c>
      <c r="C88" s="22" cm="1">
        <f t="array" ref="C88">IF(ROW()&lt;14,"",IFERROR(B88/INDEX($B:$B,ROW()-12)-1,""))</f>
        <v>1.7014629792337921E-2</v>
      </c>
      <c r="D88" s="22" cm="1">
        <f t="array" ref="D88">IF(ROW()&lt;3,"NA",IFERROR(B88/INDEX($B:$B,ROW()-1)-1,"NA"))</f>
        <v>1.4969648693932136E-3</v>
      </c>
      <c r="E88" s="22" cm="1">
        <f t="array" ref="E88">IF(ROW()&lt;5,"NA",IFERROR(B88/INDEX($B:$B,ROW()-3)-1,"NA"))</f>
        <v>4.5666503654009372E-3</v>
      </c>
      <c r="F88" s="23">
        <f t="shared" si="1"/>
        <v>0.10586244363320557</v>
      </c>
    </row>
    <row r="89" spans="1:6">
      <c r="A89" s="20">
        <v>42795</v>
      </c>
      <c r="B89" s="11">
        <v>145970</v>
      </c>
      <c r="C89" s="22" cm="1">
        <f t="array" ref="C89">IF(ROW()&lt;14,"",IFERROR(B89/INDEX($B:$B,ROW()-12)-1,""))</f>
        <v>1.6065487045982874E-2</v>
      </c>
      <c r="D89" s="22" cm="1">
        <f t="array" ref="D89">IF(ROW()&lt;3,"NA",IFERROR(B89/INDEX($B:$B,ROW()-1)-1,"NA"))</f>
        <v>8.5021186731215614E-4</v>
      </c>
      <c r="E89" s="22" cm="1">
        <f t="array" ref="E89">IF(ROW()&lt;5,"NA",IFERROR(B89/INDEX($B:$B,ROW()-3)-1,"NA"))</f>
        <v>3.8649867957747386E-3</v>
      </c>
      <c r="F89" s="23">
        <f t="shared" si="1"/>
        <v>0.11974273401002987</v>
      </c>
    </row>
    <row r="90" spans="1:6">
      <c r="A90" s="20">
        <v>42826</v>
      </c>
      <c r="B90" s="11">
        <v>146175</v>
      </c>
      <c r="C90" s="22" cm="1">
        <f t="array" ref="C90">IF(ROW()&lt;14,"",IFERROR(B90/INDEX($B:$B,ROW()-12)-1,""))</f>
        <v>1.613441405869831E-2</v>
      </c>
      <c r="D90" s="22" cm="1">
        <f t="array" ref="D90">IF(ROW()&lt;3,"NA",IFERROR(B90/INDEX($B:$B,ROW()-1)-1,"NA"))</f>
        <v>1.4043981640063929E-3</v>
      </c>
      <c r="E90" s="22" cm="1">
        <f t="array" ref="E90">IF(ROW()&lt;5,"NA",IFERROR(B90/INDEX($B:$B,ROW()-3)-1,"NA"))</f>
        <v>3.7561457961381439E-3</v>
      </c>
      <c r="F90" s="23">
        <f t="shared" si="1"/>
        <v>0.1426899882620378</v>
      </c>
    </row>
    <row r="91" spans="1:6">
      <c r="A91" s="20">
        <v>42856</v>
      </c>
      <c r="B91" s="11">
        <v>146380</v>
      </c>
      <c r="C91" s="22" cm="1">
        <f t="array" ref="C91">IF(ROW()&lt;14,"",IFERROR(B91/INDEX($B:$B,ROW()-12)-1,""))</f>
        <v>1.7234190410006844E-2</v>
      </c>
      <c r="D91" s="22" cm="1">
        <f t="array" ref="D91">IF(ROW()&lt;3,"NA",IFERROR(B91/INDEX($B:$B,ROW()-1)-1,"NA"))</f>
        <v>1.4024285958611493E-3</v>
      </c>
      <c r="E91" s="22" cm="1">
        <f t="array" ref="E91">IF(ROW()&lt;5,"NA",IFERROR(B91/INDEX($B:$B,ROW()-3)-1,"NA"))</f>
        <v>3.661396267295558E-3</v>
      </c>
      <c r="F91" s="23">
        <f t="shared" si="1"/>
        <v>0.16563724251404571</v>
      </c>
    </row>
    <row r="92" spans="1:6">
      <c r="A92" s="20">
        <v>42887</v>
      </c>
      <c r="B92" s="11">
        <v>146583</v>
      </c>
      <c r="C92" s="22" cm="1">
        <f t="array" ref="C92">IF(ROW()&lt;14,"",IFERROR(B92/INDEX($B:$B,ROW()-12)-1,""))</f>
        <v>1.6899415180336774E-2</v>
      </c>
      <c r="D92" s="22" cm="1">
        <f t="array" ref="D92">IF(ROW()&lt;3,"NA",IFERROR(B92/INDEX($B:$B,ROW()-1)-1,"NA"))</f>
        <v>1.3868014756113212E-3</v>
      </c>
      <c r="E92" s="22" cm="1">
        <f t="array" ref="E92">IF(ROW()&lt;5,"NA",IFERROR(B92/INDEX($B:$B,ROW()-3)-1,"NA"))</f>
        <v>4.1994930465163449E-3</v>
      </c>
      <c r="F92" s="23">
        <f t="shared" si="1"/>
        <v>0.18836062111481452</v>
      </c>
    </row>
    <row r="93" spans="1:6">
      <c r="A93" s="20">
        <v>42917</v>
      </c>
      <c r="B93" s="11">
        <v>146772</v>
      </c>
      <c r="C93" s="22" cm="1">
        <f t="array" ref="C93">IF(ROW()&lt;14,"",IFERROR(B93/INDEX($B:$B,ROW()-12)-1,""))</f>
        <v>1.5582618322723452E-2</v>
      </c>
      <c r="D93" s="22" cm="1">
        <f t="array" ref="D93">IF(ROW()&lt;3,"NA",IFERROR(B93/INDEX($B:$B,ROW()-1)-1,"NA"))</f>
        <v>1.2893718916928698E-3</v>
      </c>
      <c r="E93" s="22" cm="1">
        <f t="array" ref="E93">IF(ROW()&lt;5,"NA",IFERROR(B93/INDEX($B:$B,ROW()-3)-1,"NA"))</f>
        <v>4.0841457157516636E-3</v>
      </c>
      <c r="F93" s="23">
        <f t="shared" si="1"/>
        <v>0.20951687015690962</v>
      </c>
    </row>
    <row r="94" spans="1:6">
      <c r="A94" s="20">
        <v>42948</v>
      </c>
      <c r="B94" s="11">
        <v>146919</v>
      </c>
      <c r="C94" s="22" cm="1">
        <f t="array" ref="C94">IF(ROW()&lt;14,"",IFERROR(B94/INDEX($B:$B,ROW()-12)-1,""))</f>
        <v>1.5608906339649176E-2</v>
      </c>
      <c r="D94" s="22" cm="1">
        <f t="array" ref="D94">IF(ROW()&lt;3,"NA",IFERROR(B94/INDEX($B:$B,ROW()-1)-1,"NA"))</f>
        <v>1.0015534298095652E-3</v>
      </c>
      <c r="E94" s="22" cm="1">
        <f t="array" ref="E94">IF(ROW()&lt;5,"NA",IFERROR(B94/INDEX($B:$B,ROW()-3)-1,"NA"))</f>
        <v>3.6821970214511168E-3</v>
      </c>
      <c r="F94" s="23">
        <f t="shared" si="1"/>
        <v>0.22597173052298358</v>
      </c>
    </row>
    <row r="95" spans="1:6">
      <c r="A95" s="20">
        <v>42979</v>
      </c>
      <c r="B95" s="11">
        <v>147008</v>
      </c>
      <c r="C95" s="22" cm="1">
        <f t="array" ref="C95">IF(ROW()&lt;14,"",IFERROR(B95/INDEX($B:$B,ROW()-12)-1,""))</f>
        <v>1.407906627025457E-2</v>
      </c>
      <c r="D95" s="22" cm="1">
        <f t="array" ref="D95">IF(ROW()&lt;3,"NA",IFERROR(B95/INDEX($B:$B,ROW()-1)-1,"NA"))</f>
        <v>6.0577597179389819E-4</v>
      </c>
      <c r="E95" s="22" cm="1">
        <f t="array" ref="E95">IF(ROW()&lt;5,"NA",IFERROR(B95/INDEX($B:$B,ROW()-3)-1,"NA"))</f>
        <v>2.8993812379334294E-3</v>
      </c>
      <c r="F95" s="23">
        <f t="shared" si="1"/>
        <v>0.2359341970031236</v>
      </c>
    </row>
    <row r="96" spans="1:6">
      <c r="A96" s="20">
        <v>43009</v>
      </c>
      <c r="B96" s="11">
        <v>147149</v>
      </c>
      <c r="C96" s="22" cm="1">
        <f t="array" ref="C96">IF(ROW()&lt;14,"",IFERROR(B96/INDEX($B:$B,ROW()-12)-1,""))</f>
        <v>1.4365973873780691E-2</v>
      </c>
      <c r="D96" s="22" cm="1">
        <f t="array" ref="D96">IF(ROW()&lt;3,"NA",IFERROR(B96/INDEX($B:$B,ROW()-1)-1,"NA"))</f>
        <v>9.5913147583814862E-4</v>
      </c>
      <c r="E96" s="22" cm="1">
        <f t="array" ref="E96">IF(ROW()&lt;5,"NA",IFERROR(B96/INDEX($B:$B,ROW()-3)-1,"NA"))</f>
        <v>2.5686098165862425E-3</v>
      </c>
      <c r="F96" s="23">
        <f t="shared" si="1"/>
        <v>0.25171743041548028</v>
      </c>
    </row>
    <row r="97" spans="1:6">
      <c r="A97" s="20">
        <v>43040</v>
      </c>
      <c r="B97" s="11">
        <v>147372</v>
      </c>
      <c r="C97" s="22" cm="1">
        <f t="array" ref="C97">IF(ROW()&lt;14,"",IFERROR(B97/INDEX($B:$B,ROW()-12)-1,""))</f>
        <v>1.507752285047137E-2</v>
      </c>
      <c r="D97" s="22" cm="1">
        <f t="array" ref="D97">IF(ROW()&lt;3,"NA",IFERROR(B97/INDEX($B:$B,ROW()-1)-1,"NA"))</f>
        <v>1.5154707133586687E-3</v>
      </c>
      <c r="E97" s="22" cm="1">
        <f t="array" ref="E97">IF(ROW()&lt;5,"NA",IFERROR(B97/INDEX($B:$B,ROW()-3)-1,"NA"))</f>
        <v>3.0833316317153692E-3</v>
      </c>
      <c r="F97" s="23">
        <f t="shared" si="1"/>
        <v>0.27667956552864009</v>
      </c>
    </row>
    <row r="98" spans="1:6">
      <c r="A98" s="20">
        <v>43070</v>
      </c>
      <c r="B98" s="11">
        <v>147523</v>
      </c>
      <c r="C98" s="22" cm="1">
        <f t="array" ref="C98">IF(ROW()&lt;14,"",IFERROR(B98/INDEX($B:$B,ROW()-12)-1,""))</f>
        <v>1.4545279489436513E-2</v>
      </c>
      <c r="D98" s="22" cm="1">
        <f t="array" ref="D98">IF(ROW()&lt;3,"NA",IFERROR(B98/INDEX($B:$B,ROW()-1)-1,"NA"))</f>
        <v>1.0246179735635685E-3</v>
      </c>
      <c r="E98" s="22" cm="1">
        <f t="array" ref="E98">IF(ROW()&lt;5,"NA",IFERROR(B98/INDEX($B:$B,ROW()-3)-1,"NA"))</f>
        <v>3.5032107096213405E-3</v>
      </c>
      <c r="F98" s="23">
        <f t="shared" si="1"/>
        <v>0.29358217719719226</v>
      </c>
    </row>
    <row r="99" spans="1:6">
      <c r="A99" s="20">
        <v>43101</v>
      </c>
      <c r="B99" s="11">
        <v>147660</v>
      </c>
      <c r="C99" s="22" cm="1">
        <f t="array" ref="C99">IF(ROW()&lt;14,"",IFERROR(B99/INDEX($B:$B,ROW()-12)-1,""))</f>
        <v>1.3953360617463773E-2</v>
      </c>
      <c r="D99" s="22" cm="1">
        <f t="array" ref="D99">IF(ROW()&lt;3,"NA",IFERROR(B99/INDEX($B:$B,ROW()-1)-1,"NA"))</f>
        <v>9.286687499576729E-4</v>
      </c>
      <c r="E99" s="22" cm="1">
        <f t="array" ref="E99">IF(ROW()&lt;5,"NA",IFERROR(B99/INDEX($B:$B,ROW()-3)-1,"NA"))</f>
        <v>3.4726705584136042E-3</v>
      </c>
      <c r="F99" s="23">
        <f t="shared" si="1"/>
        <v>0.30891765930707071</v>
      </c>
    </row>
    <row r="100" spans="1:6">
      <c r="A100" s="20">
        <v>43132</v>
      </c>
      <c r="B100" s="11">
        <v>148054</v>
      </c>
      <c r="C100" s="22" cm="1">
        <f t="array" ref="C100">IF(ROW()&lt;14,"",IFERROR(B100/INDEX($B:$B,ROW()-12)-1,""))</f>
        <v>1.5139256476008889E-2</v>
      </c>
      <c r="D100" s="22" cm="1">
        <f t="array" ref="D100">IF(ROW()&lt;3,"NA",IFERROR(B100/INDEX($B:$B,ROW()-1)-1,"NA"))</f>
        <v>2.6682920222131923E-3</v>
      </c>
      <c r="E100" s="22" cm="1">
        <f t="array" ref="E100">IF(ROW()&lt;5,"NA",IFERROR(B100/INDEX($B:$B,ROW()-3)-1,"NA"))</f>
        <v>4.6277447547702355E-3</v>
      </c>
      <c r="F100" s="23">
        <f t="shared" si="1"/>
        <v>0.35302116260117372</v>
      </c>
    </row>
    <row r="101" spans="1:6">
      <c r="A101" s="20">
        <v>43160</v>
      </c>
      <c r="B101" s="11">
        <v>148280</v>
      </c>
      <c r="C101" s="22" cm="1">
        <f t="array" ref="C101">IF(ROW()&lt;14,"",IFERROR(B101/INDEX($B:$B,ROW()-12)-1,""))</f>
        <v>1.5825169555388152E-2</v>
      </c>
      <c r="D101" s="22" cm="1">
        <f t="array" ref="D101">IF(ROW()&lt;3,"NA",IFERROR(B101/INDEX($B:$B,ROW()-1)-1,"NA"))</f>
        <v>1.5264700717305679E-3</v>
      </c>
      <c r="E101" s="22" cm="1">
        <f t="array" ref="E101">IF(ROW()&lt;5,"NA",IFERROR(B101/INDEX($B:$B,ROW()-3)-1,"NA"))</f>
        <v>5.1314032388170006E-3</v>
      </c>
      <c r="F101" s="23">
        <f t="shared" si="1"/>
        <v>0.37831911119119221</v>
      </c>
    </row>
    <row r="102" spans="1:6">
      <c r="A102" s="20">
        <v>43191</v>
      </c>
      <c r="B102" s="11">
        <v>148420</v>
      </c>
      <c r="C102" s="22" cm="1">
        <f t="array" ref="C102">IF(ROW()&lt;14,"",IFERROR(B102/INDEX($B:$B,ROW()-12)-1,""))</f>
        <v>1.5358303403454787E-2</v>
      </c>
      <c r="D102" s="22" cm="1">
        <f t="array" ref="D102">IF(ROW()&lt;3,"NA",IFERROR(B102/INDEX($B:$B,ROW()-1)-1,"NA"))</f>
        <v>9.4415969786898479E-4</v>
      </c>
      <c r="E102" s="22" cm="1">
        <f t="array" ref="E102">IF(ROW()&lt;5,"NA",IFERROR(B102/INDEX($B:$B,ROW()-3)-1,"NA"))</f>
        <v>5.1469592306649936E-3</v>
      </c>
      <c r="F102" s="23">
        <f t="shared" si="1"/>
        <v>0.39399040677792935</v>
      </c>
    </row>
    <row r="103" spans="1:6">
      <c r="A103" s="20">
        <v>43221</v>
      </c>
      <c r="B103" s="11">
        <v>148742</v>
      </c>
      <c r="C103" s="22" cm="1">
        <f t="array" ref="C103">IF(ROW()&lt;14,"",IFERROR(B103/INDEX($B:$B,ROW()-12)-1,""))</f>
        <v>1.6136084164503295E-2</v>
      </c>
      <c r="D103" s="22" cm="1">
        <f t="array" ref="D103">IF(ROW()&lt;3,"NA",IFERROR(B103/INDEX($B:$B,ROW()-1)-1,"NA"))</f>
        <v>2.1695189327584075E-3</v>
      </c>
      <c r="E103" s="22" cm="1">
        <f t="array" ref="E103">IF(ROW()&lt;5,"NA",IFERROR(B103/INDEX($B:$B,ROW()-3)-1,"NA"))</f>
        <v>4.6469531387196561E-3</v>
      </c>
      <c r="F103" s="23">
        <f t="shared" si="1"/>
        <v>0.43003438662742471</v>
      </c>
    </row>
    <row r="104" spans="1:6">
      <c r="A104" s="20">
        <v>43252</v>
      </c>
      <c r="B104" s="11">
        <v>148960</v>
      </c>
      <c r="C104" s="22" cm="1">
        <f t="array" ref="C104">IF(ROW()&lt;14,"",IFERROR(B104/INDEX($B:$B,ROW()-12)-1,""))</f>
        <v>1.6216068711924381E-2</v>
      </c>
      <c r="D104" s="22" cm="1">
        <f t="array" ref="D104">IF(ROW()&lt;3,"NA",IFERROR(B104/INDEX($B:$B,ROW()-1)-1,"NA"))</f>
        <v>1.4656250420190808E-3</v>
      </c>
      <c r="E104" s="22" cm="1">
        <f t="array" ref="E104">IF(ROW()&lt;5,"NA",IFERROR(B104/INDEX($B:$B,ROW()-3)-1,"NA"))</f>
        <v>4.5859185325061169E-3</v>
      </c>
      <c r="F104" s="23">
        <f t="shared" si="1"/>
        <v>0.45443683261248674</v>
      </c>
    </row>
    <row r="105" spans="1:6">
      <c r="A105" s="20">
        <v>43282</v>
      </c>
      <c r="B105" s="11">
        <v>149020</v>
      </c>
      <c r="C105" s="22" cm="1">
        <f t="array" ref="C105">IF(ROW()&lt;14,"",IFERROR(B105/INDEX($B:$B,ROW()-12)-1,""))</f>
        <v>1.5316272858583391E-2</v>
      </c>
      <c r="D105" s="22" cm="1">
        <f t="array" ref="D105">IF(ROW()&lt;3,"NA",IFERROR(B105/INDEX($B:$B,ROW()-1)-1,"NA"))</f>
        <v>4.0279269602572221E-4</v>
      </c>
      <c r="E105" s="22" cm="1">
        <f t="array" ref="E105">IF(ROW()&lt;5,"NA",IFERROR(B105/INDEX($B:$B,ROW()-3)-1,"NA"))</f>
        <v>4.0425818622826792E-3</v>
      </c>
      <c r="F105" s="23">
        <f t="shared" si="1"/>
        <v>0.46115310214965982</v>
      </c>
    </row>
    <row r="106" spans="1:6">
      <c r="A106" s="20">
        <v>43313</v>
      </c>
      <c r="B106" s="11">
        <v>149277</v>
      </c>
      <c r="C106" s="22" cm="1">
        <f t="array" ref="C106">IF(ROW()&lt;14,"",IFERROR(B106/INDEX($B:$B,ROW()-12)-1,""))</f>
        <v>1.6049660016743905E-2</v>
      </c>
      <c r="D106" s="22" cm="1">
        <f t="array" ref="D106">IF(ROW()&lt;3,"NA",IFERROR(B106/INDEX($B:$B,ROW()-1)-1,"NA"))</f>
        <v>1.7246007247349038E-3</v>
      </c>
      <c r="E106" s="22" cm="1">
        <f t="array" ref="E106">IF(ROW()&lt;5,"NA",IFERROR(B106/INDEX($B:$B,ROW()-3)-1,"NA"))</f>
        <v>3.5968320985331204E-3</v>
      </c>
      <c r="F106" s="23">
        <f t="shared" si="1"/>
        <v>0.48992112333388438</v>
      </c>
    </row>
    <row r="107" spans="1:6">
      <c r="A107" s="20">
        <v>43344</v>
      </c>
      <c r="B107" s="11">
        <v>149358</v>
      </c>
      <c r="C107" s="22" cm="1">
        <f t="array" ref="C107">IF(ROW()&lt;14,"",IFERROR(B107/INDEX($B:$B,ROW()-12)-1,""))</f>
        <v>1.5985524597300849E-2</v>
      </c>
      <c r="D107" s="22" cm="1">
        <f t="array" ref="D107">IF(ROW()&lt;3,"NA",IFERROR(B107/INDEX($B:$B,ROW()-1)-1,"NA"))</f>
        <v>5.426154062582178E-4</v>
      </c>
      <c r="E107" s="22" cm="1">
        <f t="array" ref="E107">IF(ROW()&lt;5,"NA",IFERROR(B107/INDEX($B:$B,ROW()-3)-1,"NA"))</f>
        <v>2.6718582169709126E-3</v>
      </c>
      <c r="F107" s="23">
        <f t="shared" si="1"/>
        <v>0.49898808720906801</v>
      </c>
    </row>
    <row r="108" spans="1:6">
      <c r="A108" s="20">
        <v>43374</v>
      </c>
      <c r="B108" s="11">
        <v>149527</v>
      </c>
      <c r="C108" s="22" cm="1">
        <f t="array" ref="C108">IF(ROW()&lt;14,"",IFERROR(B108/INDEX($B:$B,ROW()-12)-1,""))</f>
        <v>1.6160490387294502E-2</v>
      </c>
      <c r="D108" s="22" cm="1">
        <f t="array" ref="D108">IF(ROW()&lt;3,"NA",IFERROR(B108/INDEX($B:$B,ROW()-1)-1,"NA"))</f>
        <v>1.1315095274442299E-3</v>
      </c>
      <c r="E108" s="22" cm="1">
        <f t="array" ref="E108">IF(ROW()&lt;5,"NA",IFERROR(B108/INDEX($B:$B,ROW()-3)-1,"NA"))</f>
        <v>3.4022278888738988E-3</v>
      </c>
      <c r="F108" s="23">
        <f t="shared" si="1"/>
        <v>0.51790557973877205</v>
      </c>
    </row>
    <row r="109" spans="1:6">
      <c r="A109" s="20">
        <v>43405</v>
      </c>
      <c r="B109" s="11">
        <v>149617</v>
      </c>
      <c r="C109" s="22" cm="1">
        <f t="array" ref="C109">IF(ROW()&lt;14,"",IFERROR(B109/INDEX($B:$B,ROW()-12)-1,""))</f>
        <v>1.5233558613576559E-2</v>
      </c>
      <c r="D109" s="22" cm="1">
        <f t="array" ref="D109">IF(ROW()&lt;3,"NA",IFERROR(B109/INDEX($B:$B,ROW()-1)-1,"NA"))</f>
        <v>6.0189798497933822E-4</v>
      </c>
      <c r="E109" s="22" cm="1">
        <f t="array" ref="E109">IF(ROW()&lt;5,"NA",IFERROR(B109/INDEX($B:$B,ROW()-3)-1,"NA"))</f>
        <v>2.277644915157806E-3</v>
      </c>
      <c r="F109" s="23">
        <f t="shared" si="1"/>
        <v>0.52797998404453161</v>
      </c>
    </row>
    <row r="110" spans="1:6">
      <c r="A110" s="20">
        <v>43435</v>
      </c>
      <c r="B110" s="11">
        <v>149809</v>
      </c>
      <c r="C110" s="22" cm="1">
        <f t="array" ref="C110">IF(ROW()&lt;14,"",IFERROR(B110/INDEX($B:$B,ROW()-12)-1,""))</f>
        <v>1.5495888776665412E-2</v>
      </c>
      <c r="D110" s="22" cm="1">
        <f t="array" ref="D110">IF(ROW()&lt;3,"NA",IFERROR(B110/INDEX($B:$B,ROW()-1)-1,"NA"))</f>
        <v>1.2832766330028722E-3</v>
      </c>
      <c r="E110" s="22" cm="1">
        <f t="array" ref="E110">IF(ROW()&lt;5,"NA",IFERROR(B110/INDEX($B:$B,ROW()-3)-1,"NA"))</f>
        <v>3.0195905140668611E-3</v>
      </c>
      <c r="F110" s="23">
        <f t="shared" si="1"/>
        <v>0.54947204656348536</v>
      </c>
    </row>
    <row r="111" spans="1:6">
      <c r="A111" s="20">
        <v>43466</v>
      </c>
      <c r="B111" s="11">
        <v>150060</v>
      </c>
      <c r="C111" s="22" cm="1">
        <f t="array" ref="C111">IF(ROW()&lt;14,"",IFERROR(B111/INDEX($B:$B,ROW()-12)-1,""))</f>
        <v>1.6253555465258085E-2</v>
      </c>
      <c r="D111" s="22" cm="1">
        <f t="array" ref="D111">IF(ROW()&lt;3,"NA",IFERROR(B111/INDEX($B:$B,ROW()-1)-1,"NA"))</f>
        <v>1.6754667610090479E-3</v>
      </c>
      <c r="E111" s="22" cm="1">
        <f t="array" ref="E111">IF(ROW()&lt;5,"NA",IFERROR(B111/INDEX($B:$B,ROW()-3)-1,"NA"))</f>
        <v>3.5645736221552315E-3</v>
      </c>
      <c r="F111" s="23">
        <f t="shared" si="1"/>
        <v>0.57756844079399261</v>
      </c>
    </row>
    <row r="112" spans="1:6">
      <c r="A112" s="20">
        <v>43497</v>
      </c>
      <c r="B112" s="11">
        <v>150067</v>
      </c>
      <c r="C112" s="22" cm="1">
        <f t="array" ref="C112">IF(ROW()&lt;14,"",IFERROR(B112/INDEX($B:$B,ROW()-12)-1,""))</f>
        <v>1.3596390506166678E-2</v>
      </c>
      <c r="D112" s="22" cm="1">
        <f t="array" ref="D112">IF(ROW()&lt;3,"NA",IFERROR(B112/INDEX($B:$B,ROW()-1)-1,"NA"))</f>
        <v>4.6648007463678809E-5</v>
      </c>
      <c r="E112" s="22" cm="1">
        <f t="array" ref="E112">IF(ROW()&lt;5,"NA",IFERROR(B112/INDEX($B:$B,ROW()-3)-1,"NA"))</f>
        <v>3.0076796086007107E-3</v>
      </c>
      <c r="F112" s="23">
        <f t="shared" si="1"/>
        <v>0.57835200557332955</v>
      </c>
    </row>
    <row r="113" spans="1:6">
      <c r="A113" s="20">
        <v>43525</v>
      </c>
      <c r="B113" s="11">
        <v>150295</v>
      </c>
      <c r="C113" s="22" cm="1">
        <f t="array" ref="C113">IF(ROW()&lt;14,"",IFERROR(B113/INDEX($B:$B,ROW()-12)-1,""))</f>
        <v>1.3589155651470231E-2</v>
      </c>
      <c r="D113" s="22" cm="1">
        <f t="array" ref="D113">IF(ROW()&lt;3,"NA",IFERROR(B113/INDEX($B:$B,ROW()-1)-1,"NA"))</f>
        <v>1.5193213697881625E-3</v>
      </c>
      <c r="E113" s="22" cm="1">
        <f t="array" ref="E113">IF(ROW()&lt;5,"NA",IFERROR(B113/INDEX($B:$B,ROW()-3)-1,"NA"))</f>
        <v>3.2441308599617802E-3</v>
      </c>
      <c r="F113" s="23">
        <f t="shared" si="1"/>
        <v>0.60387382981458704</v>
      </c>
    </row>
    <row r="114" spans="1:6">
      <c r="A114" s="20">
        <v>43556</v>
      </c>
      <c r="B114" s="11">
        <v>150591</v>
      </c>
      <c r="C114" s="22" cm="1">
        <f t="array" ref="C114">IF(ROW()&lt;14,"",IFERROR(B114/INDEX($B:$B,ROW()-12)-1,""))</f>
        <v>1.4627408705026212E-2</v>
      </c>
      <c r="D114" s="22" cm="1">
        <f t="array" ref="D114">IF(ROW()&lt;3,"NA",IFERROR(B114/INDEX($B:$B,ROW()-1)-1,"NA"))</f>
        <v>1.9694600618782587E-3</v>
      </c>
      <c r="E114" s="22" cm="1">
        <f t="array" ref="E114">IF(ROW()&lt;5,"NA",IFERROR(B114/INDEX($B:$B,ROW()-3)-1,"NA"))</f>
        <v>3.5385845661735083E-3</v>
      </c>
      <c r="F114" s="23">
        <f t="shared" si="1"/>
        <v>0.63700742619797412</v>
      </c>
    </row>
    <row r="115" spans="1:6">
      <c r="A115" s="20">
        <v>43586</v>
      </c>
      <c r="B115" s="11">
        <v>150618</v>
      </c>
      <c r="C115" s="22" cm="1">
        <f t="array" ref="C115">IF(ROW()&lt;14,"",IFERROR(B115/INDEX($B:$B,ROW()-12)-1,""))</f>
        <v>1.2612443022145703E-2</v>
      </c>
      <c r="D115" s="22" cm="1">
        <f t="array" ref="D115">IF(ROW()&lt;3,"NA",IFERROR(B115/INDEX($B:$B,ROW()-1)-1,"NA"))</f>
        <v>1.7929358328183653E-4</v>
      </c>
      <c r="E115" s="22" cm="1">
        <f t="array" ref="E115">IF(ROW()&lt;5,"NA",IFERROR(B115/INDEX($B:$B,ROW()-3)-1,"NA"))</f>
        <v>3.6716933103213556E-3</v>
      </c>
      <c r="F115" s="23">
        <f t="shared" si="1"/>
        <v>0.64002974748970198</v>
      </c>
    </row>
    <row r="116" spans="1:6">
      <c r="A116" s="20">
        <v>43617</v>
      </c>
      <c r="B116" s="11">
        <v>150838</v>
      </c>
      <c r="C116" s="22" cm="1">
        <f t="array" ref="C116">IF(ROW()&lt;14,"",IFERROR(B116/INDEX($B:$B,ROW()-12)-1,""))</f>
        <v>1.2607411385606948E-2</v>
      </c>
      <c r="D116" s="22" cm="1">
        <f t="array" ref="D116">IF(ROW()&lt;3,"NA",IFERROR(B116/INDEX($B:$B,ROW()-1)-1,"NA"))</f>
        <v>1.4606487936368318E-3</v>
      </c>
      <c r="E116" s="22" cm="1">
        <f t="array" ref="E116">IF(ROW()&lt;5,"NA",IFERROR(B116/INDEX($B:$B,ROW()-3)-1,"NA"))</f>
        <v>3.6128946405402651E-3</v>
      </c>
      <c r="F116" s="23">
        <f t="shared" si="1"/>
        <v>0.66465606912600317</v>
      </c>
    </row>
    <row r="117" spans="1:6">
      <c r="A117" s="20">
        <v>43647</v>
      </c>
      <c r="B117" s="11">
        <v>150937</v>
      </c>
      <c r="C117" s="22" cm="1">
        <f t="array" ref="C117">IF(ROW()&lt;14,"",IFERROR(B117/INDEX($B:$B,ROW()-12)-1,""))</f>
        <v>1.2864045094618248E-2</v>
      </c>
      <c r="D117" s="22" cm="1">
        <f t="array" ref="D117">IF(ROW()&lt;3,"NA",IFERROR(B117/INDEX($B:$B,ROW()-1)-1,"NA"))</f>
        <v>6.5633328471603747E-4</v>
      </c>
      <c r="E117" s="22" cm="1">
        <f t="array" ref="E117">IF(ROW()&lt;5,"NA",IFERROR(B117/INDEX($B:$B,ROW()-3)-1,"NA"))</f>
        <v>2.2976140672417156E-3</v>
      </c>
      <c r="F117" s="23">
        <f t="shared" si="1"/>
        <v>0.67573791386233872</v>
      </c>
    </row>
    <row r="118" spans="1:6">
      <c r="A118" s="20">
        <v>43678</v>
      </c>
      <c r="B118" s="11">
        <v>151169</v>
      </c>
      <c r="C118" s="22" cm="1">
        <f t="array" ref="C118">IF(ROW()&lt;14,"",IFERROR(B118/INDEX($B:$B,ROW()-12)-1,""))</f>
        <v>1.2674424057289579E-2</v>
      </c>
      <c r="D118" s="22" cm="1">
        <f t="array" ref="D118">IF(ROW()&lt;3,"NA",IFERROR(B118/INDEX($B:$B,ROW()-1)-1,"NA"))</f>
        <v>1.5370651331350071E-3</v>
      </c>
      <c r="E118" s="22" cm="1">
        <f t="array" ref="E118">IF(ROW()&lt;5,"NA",IFERROR(B118/INDEX($B:$B,ROW()-3)-1,"NA"))</f>
        <v>3.6582612967905881E-3</v>
      </c>
      <c r="F118" s="23">
        <f t="shared" si="1"/>
        <v>0.70170748940607452</v>
      </c>
    </row>
    <row r="119" spans="1:6">
      <c r="A119" s="20">
        <v>43709</v>
      </c>
      <c r="B119" s="11">
        <v>151365</v>
      </c>
      <c r="C119" s="22" cm="1">
        <f t="array" ref="C119">IF(ROW()&lt;14,"",IFERROR(B119/INDEX($B:$B,ROW()-12)-1,""))</f>
        <v>1.3437512553730047E-2</v>
      </c>
      <c r="D119" s="22" cm="1">
        <f t="array" ref="D119">IF(ROW()&lt;3,"NA",IFERROR(B119/INDEX($B:$B,ROW()-1)-1,"NA"))</f>
        <v>1.2965621258327342E-3</v>
      </c>
      <c r="E119" s="22" cm="1">
        <f t="array" ref="E119">IF(ROW()&lt;5,"NA",IFERROR(B119/INDEX($B:$B,ROW()-3)-1,"NA"))</f>
        <v>3.493814556013719E-3</v>
      </c>
      <c r="F119" s="23">
        <f t="shared" si="1"/>
        <v>0.72364730322750648</v>
      </c>
    </row>
    <row r="120" spans="1:6">
      <c r="A120" s="20">
        <v>43739</v>
      </c>
      <c r="B120" s="11">
        <v>151460</v>
      </c>
      <c r="C120" s="22" cm="1">
        <f t="array" ref="C120">IF(ROW()&lt;14,"",IFERROR(B120/INDEX($B:$B,ROW()-12)-1,""))</f>
        <v>1.2927431166277703E-2</v>
      </c>
      <c r="D120" s="22" cm="1">
        <f t="array" ref="D120">IF(ROW()&lt;3,"NA",IFERROR(B120/INDEX($B:$B,ROW()-1)-1,"NA"))</f>
        <v>6.2762197337562498E-4</v>
      </c>
      <c r="E120" s="22" cm="1">
        <f t="array" ref="E120">IF(ROW()&lt;5,"NA",IFERROR(B120/INDEX($B:$B,ROW()-3)-1,"NA"))</f>
        <v>3.4650218303000635E-3</v>
      </c>
      <c r="F120" s="23">
        <f t="shared" si="1"/>
        <v>0.73428139666136372</v>
      </c>
    </row>
    <row r="121" spans="1:6">
      <c r="A121" s="20">
        <v>43770</v>
      </c>
      <c r="B121" s="11">
        <v>151667</v>
      </c>
      <c r="C121" s="22" cm="1">
        <f t="array" ref="C121">IF(ROW()&lt;14,"",IFERROR(B121/INDEX($B:$B,ROW()-12)-1,""))</f>
        <v>1.3701651550291682E-2</v>
      </c>
      <c r="D121" s="22" cm="1">
        <f t="array" ref="D121">IF(ROW()&lt;3,"NA",IFERROR(B121/INDEX($B:$B,ROW()-1)-1,"NA"))</f>
        <v>1.366697477881873E-3</v>
      </c>
      <c r="E121" s="22" cm="1">
        <f t="array" ref="E121">IF(ROW()&lt;5,"NA",IFERROR(B121/INDEX($B:$B,ROW()-3)-1,"NA"))</f>
        <v>3.2943262176770016E-3</v>
      </c>
      <c r="F121" s="23">
        <f t="shared" si="1"/>
        <v>0.75745252656461082</v>
      </c>
    </row>
    <row r="122" spans="1:6">
      <c r="A122" s="20">
        <v>43800</v>
      </c>
      <c r="B122" s="11">
        <v>151794</v>
      </c>
      <c r="C122" s="22" cm="1">
        <f t="array" ref="C122">IF(ROW()&lt;14,"",IFERROR(B122/INDEX($B:$B,ROW()-12)-1,""))</f>
        <v>1.325020526136611E-2</v>
      </c>
      <c r="D122" s="22" cm="1">
        <f t="array" ref="D122">IF(ROW()&lt;3,"NA",IFERROR(B122/INDEX($B:$B,ROW()-1)-1,"NA"))</f>
        <v>8.3736079700913457E-4</v>
      </c>
      <c r="E122" s="22" cm="1">
        <f t="array" ref="E122">IF(ROW()&lt;5,"NA",IFERROR(B122/INDEX($B:$B,ROW()-3)-1,"NA"))</f>
        <v>2.8342087008224048E-3</v>
      </c>
      <c r="F122" s="23">
        <f t="shared" si="1"/>
        <v>0.7716686304182937</v>
      </c>
    </row>
    <row r="123" spans="1:6">
      <c r="A123" s="20">
        <v>43831</v>
      </c>
      <c r="B123" s="11">
        <v>152031</v>
      </c>
      <c r="C123" s="22" cm="1">
        <f t="array" ref="C123">IF(ROW()&lt;14,"",IFERROR(B123/INDEX($B:$B,ROW()-12)-1,""))</f>
        <v>1.3134746101559402E-2</v>
      </c>
      <c r="D123" s="22" cm="1">
        <f t="array" ref="D123">IF(ROW()&lt;3,"NA",IFERROR(B123/INDEX($B:$B,ROW()-1)-1,"NA"))</f>
        <v>1.5613265346456906E-3</v>
      </c>
      <c r="E123" s="22" cm="1">
        <f t="array" ref="E123">IF(ROW()&lt;5,"NA",IFERROR(B123/INDEX($B:$B,ROW()-3)-1,"NA"))</f>
        <v>3.7699722699062743E-3</v>
      </c>
      <c r="F123" s="23">
        <f t="shared" si="1"/>
        <v>0.79819789509012729</v>
      </c>
    </row>
    <row r="124" spans="1:6">
      <c r="A124" s="20">
        <v>43862</v>
      </c>
      <c r="B124" s="11">
        <v>152293</v>
      </c>
      <c r="C124" s="22" cm="1">
        <f t="array" ref="C124">IF(ROW()&lt;14,"",IFERROR(B124/INDEX($B:$B,ROW()-12)-1,""))</f>
        <v>1.4833374426089785E-2</v>
      </c>
      <c r="D124" s="22" cm="1">
        <f t="array" ref="D124">IF(ROW()&lt;3,"NA",IFERROR(B124/INDEX($B:$B,ROW()-1)-1,"NA"))</f>
        <v>1.7233327413488375E-3</v>
      </c>
      <c r="E124" s="22" cm="1">
        <f t="array" ref="E124">IF(ROW()&lt;5,"NA",IFERROR(B124/INDEX($B:$B,ROW()-3)-1,"NA"))</f>
        <v>4.1274634561243584E-3</v>
      </c>
      <c r="F124" s="23">
        <f t="shared" si="1"/>
        <v>0.82752560540244957</v>
      </c>
    </row>
    <row r="125" spans="1:6">
      <c r="A125" s="20">
        <v>43891</v>
      </c>
      <c r="B125" s="11">
        <v>150895</v>
      </c>
      <c r="C125" s="22" cm="1">
        <f t="array" ref="C125">IF(ROW()&lt;14,"",IFERROR(B125/INDEX($B:$B,ROW()-12)-1,""))</f>
        <v>3.9921487740777195E-3</v>
      </c>
      <c r="D125" s="22" cm="1">
        <f t="array" ref="D125">IF(ROW()&lt;3,"NA",IFERROR(B125/INDEX($B:$B,ROW()-1)-1,"NA"))</f>
        <v>-9.1796733927363983E-3</v>
      </c>
      <c r="E125" s="22" cm="1">
        <f t="array" ref="E125">IF(ROW()&lt;5,"NA",IFERROR(B125/INDEX($B:$B,ROW()-3)-1,"NA"))</f>
        <v>-5.9225002305756114E-3</v>
      </c>
      <c r="F125" s="23">
        <f t="shared" si="1"/>
        <v>0.67103652518631751</v>
      </c>
    </row>
    <row r="126" spans="1:6">
      <c r="A126" s="20">
        <v>43922</v>
      </c>
      <c r="B126" s="11">
        <v>130426</v>
      </c>
      <c r="C126" s="22" cm="1">
        <f t="array" ref="C126">IF(ROW()&lt;14,"",IFERROR(B126/INDEX($B:$B,ROW()-12)-1,""))</f>
        <v>-0.13390574469921845</v>
      </c>
      <c r="D126" s="22" cm="1">
        <f t="array" ref="D126">IF(ROW()&lt;3,"NA",IFERROR(B126/INDEX($B:$B,ROW()-1)-1,"NA"))</f>
        <v>-0.1356506179793896</v>
      </c>
      <c r="E126" s="22" cm="1">
        <f t="array" ref="E126">IF(ROW()&lt;5,"NA",IFERROR(B126/INDEX($B:$B,ROW()-3)-1,"NA"))</f>
        <v>-0.14210917510244625</v>
      </c>
      <c r="F126" s="23">
        <f t="shared" si="1"/>
        <v>-1.6202188274202678</v>
      </c>
    </row>
    <row r="127" spans="1:6">
      <c r="A127" s="20">
        <v>43952</v>
      </c>
      <c r="B127" s="11">
        <v>133040</v>
      </c>
      <c r="C127" s="22" cm="1">
        <f t="array" ref="C127">IF(ROW()&lt;14,"",IFERROR(B127/INDEX($B:$B,ROW()-12)-1,""))</f>
        <v>-0.1167058386115869</v>
      </c>
      <c r="D127" s="22" cm="1">
        <f t="array" ref="D127">IF(ROW()&lt;3,"NA",IFERROR(B127/INDEX($B:$B,ROW()-1)-1,"NA"))</f>
        <v>2.0042016162421517E-2</v>
      </c>
      <c r="E127" s="22" cm="1">
        <f t="array" ref="E127">IF(ROW()&lt;5,"NA",IFERROR(B127/INDEX($B:$B,ROW()-3)-1,"NA"))</f>
        <v>-0.12642078099453025</v>
      </c>
      <c r="F127" s="23">
        <f t="shared" si="1"/>
        <v>-1.327613351250762</v>
      </c>
    </row>
    <row r="128" spans="1:6">
      <c r="A128" s="20">
        <v>43983</v>
      </c>
      <c r="B128" s="11">
        <v>137671</v>
      </c>
      <c r="C128" s="22" cm="1">
        <f t="array" ref="C128">IF(ROW()&lt;14,"",IFERROR(B128/INDEX($B:$B,ROW()-12)-1,""))</f>
        <v>-8.7292326867235093E-2</v>
      </c>
      <c r="D128" s="22" cm="1">
        <f t="array" ref="D128">IF(ROW()&lt;3,"NA",IFERROR(B128/INDEX($B:$B,ROW()-1)-1,"NA"))</f>
        <v>3.4809079975947066E-2</v>
      </c>
      <c r="E128" s="22" cm="1">
        <f t="array" ref="E128">IF(ROW()&lt;5,"NA",IFERROR(B128/INDEX($B:$B,ROW()-3)-1,"NA"))</f>
        <v>-8.7637098644752998E-2</v>
      </c>
      <c r="F128" s="23">
        <f t="shared" si="1"/>
        <v>-0.80922928080662226</v>
      </c>
    </row>
    <row r="129" spans="1:6">
      <c r="A129" s="20">
        <v>44013</v>
      </c>
      <c r="B129" s="11">
        <v>139255</v>
      </c>
      <c r="C129" s="22" cm="1">
        <f t="array" ref="C129">IF(ROW()&lt;14,"",IFERROR(B129/INDEX($B:$B,ROW()-12)-1,""))</f>
        <v>-7.7396529677945081E-2</v>
      </c>
      <c r="D129" s="22" cm="1">
        <f t="array" ref="D129">IF(ROW()&lt;3,"NA",IFERROR(B129/INDEX($B:$B,ROW()-1)-1,"NA"))</f>
        <v>1.1505691104154003E-2</v>
      </c>
      <c r="E129" s="22" cm="1">
        <f t="array" ref="E129">IF(ROW()&lt;5,"NA",IFERROR(B129/INDEX($B:$B,ROW()-3)-1,"NA"))</f>
        <v>6.7693558032907442E-2</v>
      </c>
      <c r="F129" s="23">
        <f t="shared" si="1"/>
        <v>-0.63191976502525371</v>
      </c>
    </row>
    <row r="130" spans="1:6">
      <c r="A130" s="20">
        <v>44044</v>
      </c>
      <c r="B130" s="11">
        <v>140821</v>
      </c>
      <c r="C130" s="22" cm="1">
        <f t="array" ref="C130">IF(ROW()&lt;14,"",IFERROR(B130/INDEX($B:$B,ROW()-12)-1,""))</f>
        <v>-6.8453188153655864E-2</v>
      </c>
      <c r="D130" s="22" cm="1">
        <f t="array" ref="D130">IF(ROW()&lt;3,"NA",IFERROR(B130/INDEX($B:$B,ROW()-1)-1,"NA"))</f>
        <v>1.1245556712505822E-2</v>
      </c>
      <c r="E130" s="22" cm="1">
        <f t="array" ref="E130">IF(ROW()&lt;5,"NA",IFERROR(B130/INDEX($B:$B,ROW()-3)-1,"NA"))</f>
        <v>5.8486169573060742E-2</v>
      </c>
      <c r="F130" s="23">
        <f t="shared" si="1"/>
        <v>-0.45662513010503719</v>
      </c>
    </row>
    <row r="131" spans="1:6">
      <c r="A131" s="20">
        <v>44075</v>
      </c>
      <c r="B131" s="11">
        <v>141770</v>
      </c>
      <c r="C131" s="22" cm="1">
        <f t="array" ref="C131">IF(ROW()&lt;14,"",IFERROR(B131/INDEX($B:$B,ROW()-12)-1,""))</f>
        <v>-6.3389819310937123E-2</v>
      </c>
      <c r="D131" s="22" cm="1">
        <f t="array" ref="D131">IF(ROW()&lt;3,"NA",IFERROR(B131/INDEX($B:$B,ROW()-1)-1,"NA"))</f>
        <v>6.739051703936294E-3</v>
      </c>
      <c r="E131" s="22" cm="1">
        <f t="array" ref="E131">IF(ROW()&lt;5,"NA",IFERROR(B131/INDEX($B:$B,ROW()-3)-1,"NA"))</f>
        <v>2.9773881209550268E-2</v>
      </c>
      <c r="F131" s="23">
        <f t="shared" si="1"/>
        <v>-0.35039613359208349</v>
      </c>
    </row>
    <row r="132" spans="1:6">
      <c r="A132" s="20">
        <v>44105</v>
      </c>
      <c r="B132" s="11">
        <v>142460</v>
      </c>
      <c r="C132" s="22" cm="1">
        <f t="array" ref="C132">IF(ROW()&lt;14,"",IFERROR(B132/INDEX($B:$B,ROW()-12)-1,""))</f>
        <v>-5.9421629473128235E-2</v>
      </c>
      <c r="D132" s="22" cm="1">
        <f t="array" ref="D132">IF(ROW()&lt;3,"NA",IFERROR(B132/INDEX($B:$B,ROW()-1)-1,"NA"))</f>
        <v>4.8670381604005719E-3</v>
      </c>
      <c r="E132" s="22" cm="1">
        <f t="array" ref="E132">IF(ROW()&lt;5,"NA",IFERROR(B132/INDEX($B:$B,ROW()-3)-1,"NA"))</f>
        <v>2.301533158593938E-2</v>
      </c>
      <c r="F132" s="23">
        <f t="shared" ref="F132:F195" si="2">IFERROR((B132-AVERAGE($B:$B))/_xlfn.STDEV.S($B:$B),"")</f>
        <v>-0.27315903391459345</v>
      </c>
    </row>
    <row r="133" spans="1:6">
      <c r="A133" s="20">
        <v>44136</v>
      </c>
      <c r="B133" s="11">
        <v>142733</v>
      </c>
      <c r="C133" s="22" cm="1">
        <f t="array" ref="C133">IF(ROW()&lt;14,"",IFERROR(B133/INDEX($B:$B,ROW()-12)-1,""))</f>
        <v>-5.8905365043153801E-2</v>
      </c>
      <c r="D133" s="22" cm="1">
        <f t="array" ref="D133">IF(ROW()&lt;3,"NA",IFERROR(B133/INDEX($B:$B,ROW()-1)-1,"NA"))</f>
        <v>1.9163273901445788E-3</v>
      </c>
      <c r="E133" s="22" cm="1">
        <f t="array" ref="E133">IF(ROW()&lt;5,"NA",IFERROR(B133/INDEX($B:$B,ROW()-3)-1,"NA"))</f>
        <v>1.3577520398236009E-2</v>
      </c>
      <c r="F133" s="23">
        <f t="shared" si="2"/>
        <v>-0.24260000752045607</v>
      </c>
    </row>
    <row r="134" spans="1:6">
      <c r="A134" s="20">
        <v>44166</v>
      </c>
      <c r="B134" s="11">
        <v>142548</v>
      </c>
      <c r="C134" s="22" cm="1">
        <f t="array" ref="C134">IF(ROW()&lt;14,"",IFERROR(B134/INDEX($B:$B,ROW()-12)-1,""))</f>
        <v>-6.0911498478200765E-2</v>
      </c>
      <c r="D134" s="22" cm="1">
        <f t="array" ref="D134">IF(ROW()&lt;3,"NA",IFERROR(B134/INDEX($B:$B,ROW()-1)-1,"NA"))</f>
        <v>-1.2961263337840645E-3</v>
      </c>
      <c r="E134" s="22" cm="1">
        <f t="array" ref="E134">IF(ROW()&lt;5,"NA",IFERROR(B134/INDEX($B:$B,ROW()-3)-1,"NA"))</f>
        <v>5.4877618678139672E-3</v>
      </c>
      <c r="F134" s="23">
        <f t="shared" si="2"/>
        <v>-0.26330850526007299</v>
      </c>
    </row>
    <row r="135" spans="1:6">
      <c r="A135" s="20">
        <v>44197</v>
      </c>
      <c r="B135" s="11">
        <v>142863</v>
      </c>
      <c r="C135" s="22" cm="1">
        <f t="array" ref="C135">IF(ROW()&lt;14,"",IFERROR(B135/INDEX($B:$B,ROW()-12)-1,""))</f>
        <v>-6.0303490735442167E-2</v>
      </c>
      <c r="D135" s="22" cm="1">
        <f t="array" ref="D135">IF(ROW()&lt;3,"NA",IFERROR(B135/INDEX($B:$B,ROW()-1)-1,"NA"))</f>
        <v>2.2097819681792252E-3</v>
      </c>
      <c r="E135" s="22" cm="1">
        <f t="array" ref="E135">IF(ROW()&lt;5,"NA",IFERROR(B135/INDEX($B:$B,ROW()-3)-1,"NA"))</f>
        <v>2.828864242594431E-3</v>
      </c>
      <c r="F135" s="23">
        <f t="shared" si="2"/>
        <v>-0.22804809018991445</v>
      </c>
    </row>
    <row r="136" spans="1:6">
      <c r="A136" s="20">
        <v>44228</v>
      </c>
      <c r="B136" s="11">
        <v>143380</v>
      </c>
      <c r="C136" s="22" cm="1">
        <f t="array" ref="C136">IF(ROW()&lt;14,"",IFERROR(B136/INDEX($B:$B,ROW()-12)-1,""))</f>
        <v>-5.8525342596179697E-2</v>
      </c>
      <c r="D136" s="22" cm="1">
        <f t="array" ref="D136">IF(ROW()&lt;3,"NA",IFERROR(B136/INDEX($B:$B,ROW()-1)-1,"NA"))</f>
        <v>3.6188516270831972E-3</v>
      </c>
      <c r="E136" s="22" cm="1">
        <f t="array" ref="E136">IF(ROW()&lt;5,"NA",IFERROR(B136/INDEX($B:$B,ROW()-3)-1,"NA"))</f>
        <v>4.5329391240989114E-3</v>
      </c>
      <c r="F136" s="23">
        <f t="shared" si="2"/>
        <v>-0.17017623434460669</v>
      </c>
    </row>
    <row r="137" spans="1:6">
      <c r="A137" s="20">
        <v>44256</v>
      </c>
      <c r="B137" s="11">
        <v>144232</v>
      </c>
      <c r="C137" s="22" cm="1">
        <f t="array" ref="C137">IF(ROW()&lt;14,"",IFERROR(B137/INDEX($B:$B,ROW()-12)-1,""))</f>
        <v>-4.4156532688293226E-2</v>
      </c>
      <c r="D137" s="22" cm="1">
        <f t="array" ref="D137">IF(ROW()&lt;3,"NA",IFERROR(B137/INDEX($B:$B,ROW()-1)-1,"NA"))</f>
        <v>5.9422513600222437E-3</v>
      </c>
      <c r="E137" s="22" cm="1">
        <f t="array" ref="E137">IF(ROW()&lt;5,"NA",IFERROR(B137/INDEX($B:$B,ROW()-3)-1,"NA"))</f>
        <v>1.1813564553694089E-2</v>
      </c>
      <c r="F137" s="23">
        <f t="shared" si="2"/>
        <v>-7.4805206916749412E-2</v>
      </c>
    </row>
    <row r="138" spans="1:6">
      <c r="A138" s="20">
        <v>44287</v>
      </c>
      <c r="B138" s="11">
        <v>144587</v>
      </c>
      <c r="C138" s="22" cm="1">
        <f t="array" ref="C138">IF(ROW()&lt;14,"",IFERROR(B138/INDEX($B:$B,ROW()-12)-1,""))</f>
        <v>0.10857497738181032</v>
      </c>
      <c r="D138" s="22" cm="1">
        <f t="array" ref="D138">IF(ROW()&lt;3,"NA",IFERROR(B138/INDEX($B:$B,ROW()-1)-1,"NA"))</f>
        <v>2.4613123301346906E-3</v>
      </c>
      <c r="E138" s="22" cm="1">
        <f t="array" ref="E138">IF(ROW()&lt;5,"NA",IFERROR(B138/INDEX($B:$B,ROW()-3)-1,"NA"))</f>
        <v>1.2067505232285392E-2</v>
      </c>
      <c r="F138" s="23">
        <f t="shared" si="2"/>
        <v>-3.5067278821808885E-2</v>
      </c>
    </row>
    <row r="139" spans="1:6">
      <c r="A139" s="20">
        <v>44317</v>
      </c>
      <c r="B139" s="11">
        <v>145065</v>
      </c>
      <c r="C139" s="22" cm="1">
        <f t="array" ref="C139">IF(ROW()&lt;14,"",IFERROR(B139/INDEX($B:$B,ROW()-12)-1,""))</f>
        <v>9.0386349969933777E-2</v>
      </c>
      <c r="D139" s="22" cm="1">
        <f t="array" ref="D139">IF(ROW()&lt;3,"NA",IFERROR(B139/INDEX($B:$B,ROW()-1)-1,"NA"))</f>
        <v>3.3059680330873586E-3</v>
      </c>
      <c r="E139" s="22" cm="1">
        <f t="array" ref="E139">IF(ROW()&lt;5,"NA",IFERROR(B139/INDEX($B:$B,ROW()-3)-1,"NA"))</f>
        <v>1.1751987724926805E-2</v>
      </c>
      <c r="F139" s="23">
        <f t="shared" si="2"/>
        <v>1.8439001824336401E-2</v>
      </c>
    </row>
    <row r="140" spans="1:6">
      <c r="A140" s="20">
        <v>44348</v>
      </c>
      <c r="B140" s="11">
        <v>145820</v>
      </c>
      <c r="C140" s="22" cm="1">
        <f t="array" ref="C140">IF(ROW()&lt;14,"",IFERROR(B140/INDEX($B:$B,ROW()-12)-1,""))</f>
        <v>5.9191841419035329E-2</v>
      </c>
      <c r="D140" s="22" cm="1">
        <f t="array" ref="D140">IF(ROW()&lt;3,"NA",IFERROR(B140/INDEX($B:$B,ROW()-1)-1,"NA"))</f>
        <v>5.2045634715471856E-3</v>
      </c>
      <c r="E140" s="22" cm="1">
        <f t="array" ref="E140">IF(ROW()&lt;5,"NA",IFERROR(B140/INDEX($B:$B,ROW()-3)-1,"NA"))</f>
        <v>1.1010039380997316E-2</v>
      </c>
      <c r="F140" s="23">
        <f t="shared" si="2"/>
        <v>0.10295206016709725</v>
      </c>
    </row>
    <row r="141" spans="1:6">
      <c r="A141" s="20">
        <v>44378</v>
      </c>
      <c r="B141" s="11">
        <v>146762</v>
      </c>
      <c r="C141" s="22" cm="1">
        <f t="array" ref="C141">IF(ROW()&lt;14,"",IFERROR(B141/INDEX($B:$B,ROW()-12)-1,""))</f>
        <v>5.390829772719119E-2</v>
      </c>
      <c r="D141" s="22" cm="1">
        <f t="array" ref="D141">IF(ROW()&lt;3,"NA",IFERROR(B141/INDEX($B:$B,ROW()-1)-1,"NA"))</f>
        <v>6.4600192017556513E-3</v>
      </c>
      <c r="E141" s="22" cm="1">
        <f t="array" ref="E141">IF(ROW()&lt;5,"NA",IFERROR(B141/INDEX($B:$B,ROW()-3)-1,"NA"))</f>
        <v>1.5042846175658875E-2</v>
      </c>
      <c r="F141" s="23">
        <f t="shared" si="2"/>
        <v>0.2083974919007141</v>
      </c>
    </row>
    <row r="142" spans="1:6">
      <c r="A142" s="20">
        <v>44409</v>
      </c>
      <c r="B142" s="11">
        <v>147314</v>
      </c>
      <c r="C142" s="22" cm="1">
        <f t="array" ref="C142">IF(ROW()&lt;14,"",IFERROR(B142/INDEX($B:$B,ROW()-12)-1,""))</f>
        <v>4.6108179887942802E-2</v>
      </c>
      <c r="D142" s="22" cm="1">
        <f t="array" ref="D142">IF(ROW()&lt;3,"NA",IFERROR(B142/INDEX($B:$B,ROW()-1)-1,"NA"))</f>
        <v>3.7611915891033743E-3</v>
      </c>
      <c r="E142" s="22" cm="1">
        <f t="array" ref="E142">IF(ROW()&lt;5,"NA",IFERROR(B142/INDEX($B:$B,ROW()-3)-1,"NA"))</f>
        <v>1.5503395029814238E-2</v>
      </c>
      <c r="F142" s="23">
        <f t="shared" si="2"/>
        <v>0.27018717164270617</v>
      </c>
    </row>
    <row r="143" spans="1:6">
      <c r="A143" s="20">
        <v>44440</v>
      </c>
      <c r="B143" s="11">
        <v>147771</v>
      </c>
      <c r="C143" s="22" cm="1">
        <f t="array" ref="C143">IF(ROW()&lt;14,"",IFERROR(B143/INDEX($B:$B,ROW()-12)-1,""))</f>
        <v>4.2329124638498916E-2</v>
      </c>
      <c r="D143" s="22" cm="1">
        <f t="array" ref="D143">IF(ROW()&lt;3,"NA",IFERROR(B143/INDEX($B:$B,ROW()-1)-1,"NA"))</f>
        <v>3.1022170330043952E-3</v>
      </c>
      <c r="E143" s="22" cm="1">
        <f t="array" ref="E143">IF(ROW()&lt;5,"NA",IFERROR(B143/INDEX($B:$B,ROW()-3)-1,"NA"))</f>
        <v>1.3379508983678567E-2</v>
      </c>
      <c r="F143" s="23">
        <f t="shared" si="2"/>
        <v>0.32134275795084088</v>
      </c>
    </row>
    <row r="144" spans="1:6">
      <c r="A144" s="20">
        <v>44470</v>
      </c>
      <c r="B144" s="11">
        <v>148572</v>
      </c>
      <c r="C144" s="22" cm="1">
        <f t="array" ref="C144">IF(ROW()&lt;14,"",IFERROR(B144/INDEX($B:$B,ROW()-12)-1,""))</f>
        <v>4.2903271093640338E-2</v>
      </c>
      <c r="D144" s="22" cm="1">
        <f t="array" ref="D144">IF(ROW()&lt;3,"NA",IFERROR(B144/INDEX($B:$B,ROW()-1)-1,"NA"))</f>
        <v>5.4205493635421931E-3</v>
      </c>
      <c r="E144" s="22" cm="1">
        <f t="array" ref="E144">IF(ROW()&lt;5,"NA",IFERROR(B144/INDEX($B:$B,ROW()-3)-1,"NA"))</f>
        <v>1.2332892710647192E-2</v>
      </c>
      <c r="F144" s="23">
        <f t="shared" si="2"/>
        <v>0.41100495627210104</v>
      </c>
    </row>
    <row r="145" spans="1:6">
      <c r="A145" s="20">
        <v>44501</v>
      </c>
      <c r="B145" s="11">
        <v>149230</v>
      </c>
      <c r="C145" s="22" cm="1">
        <f t="array" ref="C145">IF(ROW()&lt;14,"",IFERROR(B145/INDEX($B:$B,ROW()-12)-1,""))</f>
        <v>4.5518555624838086E-2</v>
      </c>
      <c r="D145" s="22" cm="1">
        <f t="array" ref="D145">IF(ROW()&lt;3,"NA",IFERROR(B145/INDEX($B:$B,ROW()-1)-1,"NA"))</f>
        <v>4.4288291198879559E-3</v>
      </c>
      <c r="E145" s="22" cm="1">
        <f t="array" ref="E145">IF(ROW()&lt;5,"NA",IFERROR(B145/INDEX($B:$B,ROW()-3)-1,"NA"))</f>
        <v>1.3006231586950356E-2</v>
      </c>
      <c r="F145" s="23">
        <f t="shared" si="2"/>
        <v>0.48466004552976549</v>
      </c>
    </row>
    <row r="146" spans="1:6">
      <c r="A146" s="20">
        <v>44531</v>
      </c>
      <c r="B146" s="11">
        <v>149816</v>
      </c>
      <c r="C146" s="22" cm="1">
        <f t="array" ref="C146">IF(ROW()&lt;14,"",IFERROR(B146/INDEX($B:$B,ROW()-12)-1,""))</f>
        <v>5.0986334427701507E-2</v>
      </c>
      <c r="D146" s="22" cm="1">
        <f t="array" ref="D146">IF(ROW()&lt;3,"NA",IFERROR(B146/INDEX($B:$B,ROW()-1)-1,"NA"))</f>
        <v>3.9268243650740775E-3</v>
      </c>
      <c r="E146" s="22" cm="1">
        <f t="array" ref="E146">IF(ROW()&lt;5,"NA",IFERROR(B146/INDEX($B:$B,ROW()-3)-1,"NA"))</f>
        <v>1.3838980584823801E-2</v>
      </c>
      <c r="F146" s="23">
        <f t="shared" si="2"/>
        <v>0.5502556113428223</v>
      </c>
    </row>
    <row r="147" spans="1:6">
      <c r="A147" s="20">
        <v>44562</v>
      </c>
      <c r="B147" s="11">
        <v>150006</v>
      </c>
      <c r="C147" s="22" cm="1">
        <f t="array" ref="C147">IF(ROW()&lt;14,"",IFERROR(B147/INDEX($B:$B,ROW()-12)-1,""))</f>
        <v>4.9998950043048218E-2</v>
      </c>
      <c r="D147" s="22" cm="1">
        <f t="array" ref="D147">IF(ROW()&lt;3,"NA",IFERROR(B147/INDEX($B:$B,ROW()-1)-1,"NA"))</f>
        <v>1.2682223527527015E-3</v>
      </c>
      <c r="E147" s="22" cm="1">
        <f t="array" ref="E147">IF(ROW()&lt;5,"NA",IFERROR(B147/INDEX($B:$B,ROW()-3)-1,"NA"))</f>
        <v>9.6518859542849E-3</v>
      </c>
      <c r="F147" s="23">
        <f t="shared" si="2"/>
        <v>0.57152379821053689</v>
      </c>
    </row>
    <row r="148" spans="1:6">
      <c r="A148" s="20">
        <v>44593</v>
      </c>
      <c r="B148" s="11">
        <v>150825</v>
      </c>
      <c r="C148" s="22" cm="1">
        <f t="array" ref="C148">IF(ROW()&lt;14,"",IFERROR(B148/INDEX($B:$B,ROW()-12)-1,""))</f>
        <v>5.1924954665922618E-2</v>
      </c>
      <c r="D148" s="22" cm="1">
        <f t="array" ref="D148">IF(ROW()&lt;3,"NA",IFERROR(B148/INDEX($B:$B,ROW()-1)-1,"NA"))</f>
        <v>5.4597816087356144E-3</v>
      </c>
      <c r="E148" s="22" cm="1">
        <f t="array" ref="E148">IF(ROW()&lt;5,"NA",IFERROR(B148/INDEX($B:$B,ROW()-3)-1,"NA"))</f>
        <v>1.0688199423708467E-2</v>
      </c>
      <c r="F148" s="23">
        <f t="shared" si="2"/>
        <v>0.66320087739294897</v>
      </c>
    </row>
    <row r="149" spans="1:6">
      <c r="A149" s="20">
        <v>44621</v>
      </c>
      <c r="B149" s="11">
        <v>151315</v>
      </c>
      <c r="C149" s="22" cm="1">
        <f t="array" ref="C149">IF(ROW()&lt;14,"",IFERROR(B149/INDEX($B:$B,ROW()-12)-1,""))</f>
        <v>4.9108380941816021E-2</v>
      </c>
      <c r="D149" s="22" cm="1">
        <f t="array" ref="D149">IF(ROW()&lt;3,"NA",IFERROR(B149/INDEX($B:$B,ROW()-1)-1,"NA"))</f>
        <v>3.2487982761477685E-3</v>
      </c>
      <c r="E149" s="22" cm="1">
        <f t="array" ref="E149">IF(ROW()&lt;5,"NA",IFERROR(B149/INDEX($B:$B,ROW()-3)-1,"NA"))</f>
        <v>1.0005606877770079E-2</v>
      </c>
      <c r="F149" s="23">
        <f t="shared" si="2"/>
        <v>0.71805041194652885</v>
      </c>
    </row>
    <row r="150" spans="1:6">
      <c r="A150" s="20">
        <v>44652</v>
      </c>
      <c r="B150" s="11">
        <v>151623</v>
      </c>
      <c r="C150" s="22" cm="1">
        <f t="array" ref="C150">IF(ROW()&lt;14,"",IFERROR(B150/INDEX($B:$B,ROW()-12)-1,""))</f>
        <v>4.8662742846867335E-2</v>
      </c>
      <c r="D150" s="22" cm="1">
        <f t="array" ref="D150">IF(ROW()&lt;3,"NA",IFERROR(B150/INDEX($B:$B,ROW()-1)-1,"NA"))</f>
        <v>2.03548888081162E-3</v>
      </c>
      <c r="E150" s="22" cm="1">
        <f t="array" ref="E150">IF(ROW()&lt;5,"NA",IFERROR(B150/INDEX($B:$B,ROW()-3)-1,"NA"))</f>
        <v>1.0779568817247398E-2</v>
      </c>
      <c r="F150" s="23">
        <f t="shared" si="2"/>
        <v>0.75252726223735056</v>
      </c>
    </row>
    <row r="151" spans="1:6">
      <c r="A151" s="20">
        <v>44682</v>
      </c>
      <c r="B151" s="11">
        <v>151924</v>
      </c>
      <c r="C151" s="22" cm="1">
        <f t="array" ref="C151">IF(ROW()&lt;14,"",IFERROR(B151/INDEX($B:$B,ROW()-12)-1,""))</f>
        <v>4.7282252783235057E-2</v>
      </c>
      <c r="D151" s="22" cm="1">
        <f t="array" ref="D151">IF(ROW()&lt;3,"NA",IFERROR(B151/INDEX($B:$B,ROW()-1)-1,"NA"))</f>
        <v>1.985186943933348E-3</v>
      </c>
      <c r="E151" s="22" cm="1">
        <f t="array" ref="E151">IF(ROW()&lt;5,"NA",IFERROR(B151/INDEX($B:$B,ROW()-3)-1,"NA"))</f>
        <v>7.2865904193601949E-3</v>
      </c>
      <c r="F151" s="23">
        <f t="shared" si="2"/>
        <v>0.78622054774883532</v>
      </c>
    </row>
    <row r="152" spans="1:6">
      <c r="A152" s="20">
        <v>44713</v>
      </c>
      <c r="B152" s="11">
        <v>152358</v>
      </c>
      <c r="C152" s="22" cm="1">
        <f t="array" ref="C152">IF(ROW()&lt;14,"",IFERROR(B152/INDEX($B:$B,ROW()-12)-1,""))</f>
        <v>4.483609930050747E-2</v>
      </c>
      <c r="D152" s="22" cm="1">
        <f t="array" ref="D152">IF(ROW()&lt;3,"NA",IFERROR(B152/INDEX($B:$B,ROW()-1)-1,"NA"))</f>
        <v>2.8566915036465357E-3</v>
      </c>
      <c r="E152" s="22" cm="1">
        <f t="array" ref="E152">IF(ROW()&lt;5,"NA",IFERROR(B152/INDEX($B:$B,ROW()-3)-1,"NA"))</f>
        <v>6.892905528202764E-3</v>
      </c>
      <c r="F152" s="23">
        <f t="shared" si="2"/>
        <v>0.83480156406772044</v>
      </c>
    </row>
    <row r="153" spans="1:6">
      <c r="A153" s="20">
        <v>44743</v>
      </c>
      <c r="B153" s="11">
        <v>153072</v>
      </c>
      <c r="C153" s="22" cm="1">
        <f t="array" ref="C153">IF(ROW()&lt;14,"",IFERROR(B153/INDEX($B:$B,ROW()-12)-1,""))</f>
        <v>4.2994780665294829E-2</v>
      </c>
      <c r="D153" s="22" cm="1">
        <f t="array" ref="D153">IF(ROW()&lt;3,"NA",IFERROR(B153/INDEX($B:$B,ROW()-1)-1,"NA"))</f>
        <v>4.6863308785884961E-3</v>
      </c>
      <c r="E153" s="22" cm="1">
        <f t="array" ref="E153">IF(ROW()&lt;5,"NA",IFERROR(B153/INDEX($B:$B,ROW()-3)-1,"NA"))</f>
        <v>9.5565976138185516E-3</v>
      </c>
      <c r="F153" s="23">
        <f t="shared" si="2"/>
        <v>0.91472517156007971</v>
      </c>
    </row>
    <row r="154" spans="1:6">
      <c r="A154" s="20">
        <v>44774</v>
      </c>
      <c r="B154" s="11">
        <v>153362</v>
      </c>
      <c r="C154" s="22" cm="1">
        <f t="array" ref="C154">IF(ROW()&lt;14,"",IFERROR(B154/INDEX($B:$B,ROW()-12)-1,""))</f>
        <v>4.1055161084486258E-2</v>
      </c>
      <c r="D154" s="22" cm="1">
        <f t="array" ref="D154">IF(ROW()&lt;3,"NA",IFERROR(B154/INDEX($B:$B,ROW()-1)-1,"NA"))</f>
        <v>1.894533291523004E-3</v>
      </c>
      <c r="E154" s="22" cm="1">
        <f t="array" ref="E154">IF(ROW()&lt;5,"NA",IFERROR(B154/INDEX($B:$B,ROW()-3)-1,"NA"))</f>
        <v>9.4652589452621783E-3</v>
      </c>
      <c r="F154" s="23">
        <f t="shared" si="2"/>
        <v>0.94718714098974943</v>
      </c>
    </row>
    <row r="155" spans="1:6">
      <c r="A155" s="20">
        <v>44805</v>
      </c>
      <c r="B155" s="11">
        <v>153582</v>
      </c>
      <c r="C155" s="22" cm="1">
        <f t="array" ref="C155">IF(ROW()&lt;14,"",IFERROR(B155/INDEX($B:$B,ROW()-12)-1,""))</f>
        <v>3.9324359989443058E-2</v>
      </c>
      <c r="D155" s="22" cm="1">
        <f t="array" ref="D155">IF(ROW()&lt;3,"NA",IFERROR(B155/INDEX($B:$B,ROW()-1)-1,"NA"))</f>
        <v>1.4345144168699253E-3</v>
      </c>
      <c r="E155" s="22" cm="1">
        <f t="array" ref="E155">IF(ROW()&lt;5,"NA",IFERROR(B155/INDEX($B:$B,ROW()-3)-1,"NA"))</f>
        <v>8.0337100775804693E-3</v>
      </c>
      <c r="F155" s="23">
        <f t="shared" si="2"/>
        <v>0.97181346262605062</v>
      </c>
    </row>
    <row r="156" spans="1:6">
      <c r="A156" s="20">
        <v>44835</v>
      </c>
      <c r="B156" s="11">
        <v>153939</v>
      </c>
      <c r="C156" s="22" cm="1">
        <f t="array" ref="C156">IF(ROW()&lt;14,"",IFERROR(B156/INDEX($B:$B,ROW()-12)-1,""))</f>
        <v>3.6123899523463399E-2</v>
      </c>
      <c r="D156" s="22" cm="1">
        <f t="array" ref="D156">IF(ROW()&lt;3,"NA",IFERROR(B156/INDEX($B:$B,ROW()-1)-1,"NA"))</f>
        <v>2.324491151306729E-3</v>
      </c>
      <c r="E156" s="22" cm="1">
        <f t="array" ref="E156">IF(ROW()&lt;5,"NA",IFERROR(B156/INDEX($B:$B,ROW()-3)-1,"NA"))</f>
        <v>5.6640012543116569E-3</v>
      </c>
      <c r="F156" s="23">
        <f t="shared" si="2"/>
        <v>1.0117752663722301</v>
      </c>
    </row>
    <row r="157" spans="1:6">
      <c r="A157" s="20">
        <v>44866</v>
      </c>
      <c r="B157" s="11">
        <v>154242</v>
      </c>
      <c r="C157" s="22" cm="1">
        <f t="array" ref="C157">IF(ROW()&lt;14,"",IFERROR(B157/INDEX($B:$B,ROW()-12)-1,""))</f>
        <v>3.3585740132681119E-2</v>
      </c>
      <c r="D157" s="22" cm="1">
        <f t="array" ref="D157">IF(ROW()&lt;3,"NA",IFERROR(B157/INDEX($B:$B,ROW()-1)-1,"NA"))</f>
        <v>1.9683121236333534E-3</v>
      </c>
      <c r="E157" s="22" cm="1">
        <f t="array" ref="E157">IF(ROW()&lt;5,"NA",IFERROR(B157/INDEX($B:$B,ROW()-3)-1,"NA"))</f>
        <v>5.7380576674794792E-3</v>
      </c>
      <c r="F157" s="23">
        <f t="shared" si="2"/>
        <v>1.0456924275349542</v>
      </c>
    </row>
    <row r="158" spans="1:6">
      <c r="A158" s="20">
        <v>44896</v>
      </c>
      <c r="B158" s="11">
        <v>154342</v>
      </c>
      <c r="C158" s="22" cm="1">
        <f t="array" ref="C158">IF(ROW()&lt;14,"",IFERROR(B158/INDEX($B:$B,ROW()-12)-1,""))</f>
        <v>3.0210391413467264E-2</v>
      </c>
      <c r="D158" s="22" cm="1">
        <f t="array" ref="D158">IF(ROW()&lt;3,"NA",IFERROR(B158/INDEX($B:$B,ROW()-1)-1,"NA"))</f>
        <v>6.4833184217016893E-4</v>
      </c>
      <c r="E158" s="22" cm="1">
        <f t="array" ref="E158">IF(ROW()&lt;5,"NA",IFERROR(B158/INDEX($B:$B,ROW()-3)-1,"NA"))</f>
        <v>4.948496568608407E-3</v>
      </c>
      <c r="F158" s="23">
        <f t="shared" si="2"/>
        <v>1.0568862100969092</v>
      </c>
    </row>
    <row r="159" spans="1:6">
      <c r="A159" s="20">
        <v>44927</v>
      </c>
      <c r="B159" s="11">
        <v>154776</v>
      </c>
      <c r="C159" s="22" cm="1">
        <f t="array" ref="C159">IF(ROW()&lt;14,"",IFERROR(B159/INDEX($B:$B,ROW()-12)-1,""))</f>
        <v>3.1798728050878022E-2</v>
      </c>
      <c r="D159" s="22" cm="1">
        <f t="array" ref="D159">IF(ROW()&lt;3,"NA",IFERROR(B159/INDEX($B:$B,ROW()-1)-1,"NA"))</f>
        <v>2.811937126640851E-3</v>
      </c>
      <c r="E159" s="22" cm="1">
        <f t="array" ref="E159">IF(ROW()&lt;5,"NA",IFERROR(B159/INDEX($B:$B,ROW()-3)-1,"NA"))</f>
        <v>5.4372186385516219E-3</v>
      </c>
      <c r="F159" s="23">
        <f t="shared" si="2"/>
        <v>1.1054672264157943</v>
      </c>
    </row>
    <row r="160" spans="1:6">
      <c r="A160" s="20">
        <v>44958</v>
      </c>
      <c r="B160" s="11">
        <v>155066</v>
      </c>
      <c r="C160" s="22" cm="1">
        <f t="array" ref="C160">IF(ROW()&lt;14,"",IFERROR(B160/INDEX($B:$B,ROW()-12)-1,""))</f>
        <v>2.811868059008793E-2</v>
      </c>
      <c r="D160" s="22" cm="1">
        <f t="array" ref="D160">IF(ROW()&lt;3,"NA",IFERROR(B160/INDEX($B:$B,ROW()-1)-1,"NA"))</f>
        <v>1.8736755052461973E-3</v>
      </c>
      <c r="E160" s="22" cm="1">
        <f t="array" ref="E160">IF(ROW()&lt;5,"NA",IFERROR(B160/INDEX($B:$B,ROW()-3)-1,"NA"))</f>
        <v>5.342254379481659E-3</v>
      </c>
      <c r="F160" s="23">
        <f t="shared" si="2"/>
        <v>1.137929195845464</v>
      </c>
    </row>
    <row r="161" spans="1:6">
      <c r="A161" s="20">
        <v>44986</v>
      </c>
      <c r="B161" s="11">
        <v>155134</v>
      </c>
      <c r="C161" s="22" cm="1">
        <f t="array" ref="C161">IF(ROW()&lt;14,"",IFERROR(B161/INDEX($B:$B,ROW()-12)-1,""))</f>
        <v>2.5238740376036795E-2</v>
      </c>
      <c r="D161" s="22" cm="1">
        <f t="array" ref="D161">IF(ROW()&lt;3,"NA",IFERROR(B161/INDEX($B:$B,ROW()-1)-1,"NA"))</f>
        <v>4.3852295151736165E-4</v>
      </c>
      <c r="E161" s="22" cm="1">
        <f t="array" ref="E161">IF(ROW()&lt;5,"NA",IFERROR(B161/INDEX($B:$B,ROW()-3)-1,"NA"))</f>
        <v>5.1314613002293452E-3</v>
      </c>
      <c r="F161" s="23">
        <f t="shared" si="2"/>
        <v>1.1455409679875934</v>
      </c>
    </row>
    <row r="162" spans="1:6">
      <c r="A162" s="20">
        <v>45017</v>
      </c>
      <c r="B162" s="11">
        <v>155375</v>
      </c>
      <c r="C162" s="22" cm="1">
        <f t="array" ref="C162">IF(ROW()&lt;14,"",IFERROR(B162/INDEX($B:$B,ROW()-12)-1,""))</f>
        <v>2.474558609181976E-2</v>
      </c>
      <c r="D162" s="22" cm="1">
        <f t="array" ref="D162">IF(ROW()&lt;3,"NA",IFERROR(B162/INDEX($B:$B,ROW()-1)-1,"NA"))</f>
        <v>1.5534956875991046E-3</v>
      </c>
      <c r="E162" s="22" cm="1">
        <f t="array" ref="E162">IF(ROW()&lt;5,"NA",IFERROR(B162/INDEX($B:$B,ROW()-3)-1,"NA"))</f>
        <v>3.8701090608364019E-3</v>
      </c>
      <c r="F162" s="23">
        <f t="shared" si="2"/>
        <v>1.1725179839619051</v>
      </c>
    </row>
    <row r="163" spans="1:6">
      <c r="A163" s="20">
        <v>45047</v>
      </c>
      <c r="B163" s="11">
        <v>155655</v>
      </c>
      <c r="C163" s="22" cm="1">
        <f t="array" ref="C163">IF(ROW()&lt;14,"",IFERROR(B163/INDEX($B:$B,ROW()-12)-1,""))</f>
        <v>2.4558331797477795E-2</v>
      </c>
      <c r="D163" s="22" cm="1">
        <f t="array" ref="D163">IF(ROW()&lt;3,"NA",IFERROR(B163/INDEX($B:$B,ROW()-1)-1,"NA"))</f>
        <v>1.8020917135961323E-3</v>
      </c>
      <c r="E163" s="22" cm="1">
        <f t="array" ref="E163">IF(ROW()&lt;5,"NA",IFERROR(B163/INDEX($B:$B,ROW()-3)-1,"NA"))</f>
        <v>3.7983826241729801E-3</v>
      </c>
      <c r="F163" s="23">
        <f t="shared" si="2"/>
        <v>1.2038605751353795</v>
      </c>
    </row>
    <row r="164" spans="1:6">
      <c r="A164" s="20">
        <v>45078</v>
      </c>
      <c r="B164" s="11">
        <v>155880</v>
      </c>
      <c r="C164" s="22" cm="1">
        <f t="array" ref="C164">IF(ROW()&lt;14,"",IFERROR(B164/INDEX($B:$B,ROW()-12)-1,""))</f>
        <v>2.3116606938920148E-2</v>
      </c>
      <c r="D164" s="22" cm="1">
        <f t="array" ref="D164">IF(ROW()&lt;3,"NA",IFERROR(B164/INDEX($B:$B,ROW()-1)-1,"NA"))</f>
        <v>1.4455044810639528E-3</v>
      </c>
      <c r="E164" s="22" cm="1">
        <f t="array" ref="E164">IF(ROW()&lt;5,"NA",IFERROR(B164/INDEX($B:$B,ROW()-3)-1,"NA"))</f>
        <v>4.8087459873400462E-3</v>
      </c>
      <c r="F164" s="23">
        <f t="shared" si="2"/>
        <v>1.2290465858997783</v>
      </c>
    </row>
    <row r="165" spans="1:6">
      <c r="A165" s="20">
        <v>45108</v>
      </c>
      <c r="B165" s="11">
        <v>156043</v>
      </c>
      <c r="C165" s="22" cm="1">
        <f t="array" ref="C165">IF(ROW()&lt;14,"",IFERROR(B165/INDEX($B:$B,ROW()-12)-1,""))</f>
        <v>1.9409166927981669E-2</v>
      </c>
      <c r="D165" s="22" cm="1">
        <f t="array" ref="D165">IF(ROW()&lt;3,"NA",IFERROR(B165/INDEX($B:$B,ROW()-1)-1,"NA"))</f>
        <v>1.0456761611497001E-3</v>
      </c>
      <c r="E165" s="22" cm="1">
        <f t="array" ref="E165">IF(ROW()&lt;5,"NA",IFERROR(B165/INDEX($B:$B,ROW()-3)-1,"NA"))</f>
        <v>4.2992759452935569E-3</v>
      </c>
      <c r="F165" s="23">
        <f t="shared" si="2"/>
        <v>1.2472924514757651</v>
      </c>
    </row>
    <row r="166" spans="1:6">
      <c r="A166" s="20">
        <v>45139</v>
      </c>
      <c r="B166" s="11">
        <v>156261</v>
      </c>
      <c r="C166" s="22" cm="1">
        <f t="array" ref="C166">IF(ROW()&lt;14,"",IFERROR(B166/INDEX($B:$B,ROW()-12)-1,""))</f>
        <v>1.8902987702299034E-2</v>
      </c>
      <c r="D166" s="22" cm="1">
        <f t="array" ref="D166">IF(ROW()&lt;3,"NA",IFERROR(B166/INDEX($B:$B,ROW()-1)-1,"NA"))</f>
        <v>1.3970508129168557E-3</v>
      </c>
      <c r="E166" s="22" cm="1">
        <f t="array" ref="E166">IF(ROW()&lt;5,"NA",IFERROR(B166/INDEX($B:$B,ROW()-3)-1,"NA"))</f>
        <v>3.8932254023320567E-3</v>
      </c>
      <c r="F166" s="23">
        <f t="shared" si="2"/>
        <v>1.2716948974608271</v>
      </c>
    </row>
    <row r="167" spans="1:6">
      <c r="A167" s="20">
        <v>45170</v>
      </c>
      <c r="B167" s="11">
        <v>156417</v>
      </c>
      <c r="C167" s="22" cm="1">
        <f t="array" ref="C167">IF(ROW()&lt;14,"",IFERROR(B167/INDEX($B:$B,ROW()-12)-1,""))</f>
        <v>1.8459194436847959E-2</v>
      </c>
      <c r="D167" s="22" cm="1">
        <f t="array" ref="D167">IF(ROW()&lt;3,"NA",IFERROR(B167/INDEX($B:$B,ROW()-1)-1,"NA"))</f>
        <v>9.9832971758795352E-4</v>
      </c>
      <c r="E167" s="22" cm="1">
        <f t="array" ref="E167">IF(ROW()&lt;5,"NA",IFERROR(B167/INDEX($B:$B,ROW()-3)-1,"NA"))</f>
        <v>3.4449576597381792E-3</v>
      </c>
      <c r="F167" s="23">
        <f t="shared" si="2"/>
        <v>1.289157198257477</v>
      </c>
    </row>
    <row r="168" spans="1:6">
      <c r="A168" s="20">
        <v>45200</v>
      </c>
      <c r="B168" s="11">
        <v>156576</v>
      </c>
      <c r="C168" s="22" cm="1">
        <f t="array" ref="C168">IF(ROW()&lt;14,"",IFERROR(B168/INDEX($B:$B,ROW()-12)-1,""))</f>
        <v>1.7130161947264799E-2</v>
      </c>
      <c r="D168" s="22" cm="1">
        <f t="array" ref="D168">IF(ROW()&lt;3,"NA",IFERROR(B168/INDEX($B:$B,ROW()-1)-1,"NA"))</f>
        <v>1.0165135503175105E-3</v>
      </c>
      <c r="E168" s="22" cm="1">
        <f t="array" ref="E168">IF(ROW()&lt;5,"NA",IFERROR(B168/INDEX($B:$B,ROW()-3)-1,"NA"))</f>
        <v>3.4157251526822918E-3</v>
      </c>
      <c r="F168" s="23">
        <f t="shared" si="2"/>
        <v>1.3069553125309856</v>
      </c>
    </row>
    <row r="169" spans="1:6">
      <c r="A169" s="20">
        <v>45231</v>
      </c>
      <c r="B169" s="11">
        <v>156703</v>
      </c>
      <c r="C169" s="22" cm="1">
        <f t="array" ref="C169">IF(ROW()&lt;14,"",IFERROR(B169/INDEX($B:$B,ROW()-12)-1,""))</f>
        <v>1.5955446635806059E-2</v>
      </c>
      <c r="D169" s="22" cm="1">
        <f t="array" ref="D169">IF(ROW()&lt;3,"NA",IFERROR(B169/INDEX($B:$B,ROW()-1)-1,"NA"))</f>
        <v>8.1110770488446171E-4</v>
      </c>
      <c r="E169" s="22" cm="1">
        <f t="array" ref="E169">IF(ROW()&lt;5,"NA",IFERROR(B169/INDEX($B:$B,ROW()-3)-1,"NA"))</f>
        <v>2.8286008664990536E-3</v>
      </c>
      <c r="F169" s="23">
        <f t="shared" si="2"/>
        <v>1.3211714163846686</v>
      </c>
    </row>
    <row r="170" spans="1:6">
      <c r="A170" s="20">
        <v>45261</v>
      </c>
      <c r="B170" s="11">
        <v>156857</v>
      </c>
      <c r="C170" s="22" cm="1">
        <f t="array" ref="C170">IF(ROW()&lt;14,"",IFERROR(B170/INDEX($B:$B,ROW()-12)-1,""))</f>
        <v>1.6294981275349452E-2</v>
      </c>
      <c r="D170" s="22" cm="1">
        <f t="array" ref="D170">IF(ROW()&lt;3,"NA",IFERROR(B170/INDEX($B:$B,ROW()-1)-1,"NA"))</f>
        <v>9.8275080885490418E-4</v>
      </c>
      <c r="E170" s="22" cm="1">
        <f t="array" ref="E170">IF(ROW()&lt;5,"NA",IFERROR(B170/INDEX($B:$B,ROW()-3)-1,"NA"))</f>
        <v>2.8129934725764638E-3</v>
      </c>
      <c r="F170" s="23">
        <f t="shared" si="2"/>
        <v>1.3384098415300794</v>
      </c>
    </row>
    <row r="171" spans="1:6">
      <c r="A171" s="20">
        <v>45292</v>
      </c>
      <c r="B171" s="11">
        <v>157032</v>
      </c>
      <c r="C171" s="22" cm="1">
        <f t="array" ref="C171">IF(ROW()&lt;14,"",IFERROR(B171/INDEX($B:$B,ROW()-12)-1,""))</f>
        <v>1.4575903240812593E-2</v>
      </c>
      <c r="D171" s="22" cm="1">
        <f t="array" ref="D171">IF(ROW()&lt;3,"NA",IFERROR(B171/INDEX($B:$B,ROW()-1)-1,"NA"))</f>
        <v>1.1156658612621051E-3</v>
      </c>
      <c r="E171" s="22" cm="1">
        <f t="array" ref="E171">IF(ROW()&lt;5,"NA",IFERROR(B171/INDEX($B:$B,ROW()-3)-1,"NA"))</f>
        <v>2.9123237277743907E-3</v>
      </c>
      <c r="F171" s="23">
        <f t="shared" si="2"/>
        <v>1.3579989610135008</v>
      </c>
    </row>
    <row r="172" spans="1:6">
      <c r="A172" s="20">
        <v>45323</v>
      </c>
      <c r="B172" s="11">
        <v>157238</v>
      </c>
      <c r="C172" s="22" cm="1">
        <f t="array" ref="C172">IF(ROW()&lt;14,"",IFERROR(B172/INDEX($B:$B,ROW()-12)-1,""))</f>
        <v>1.400693898082106E-2</v>
      </c>
      <c r="D172" s="22" cm="1">
        <f t="array" ref="D172">IF(ROW()&lt;3,"NA",IFERROR(B172/INDEX($B:$B,ROW()-1)-1,"NA"))</f>
        <v>1.3118345305416224E-3</v>
      </c>
      <c r="E172" s="22" cm="1">
        <f t="array" ref="E172">IF(ROW()&lt;5,"NA",IFERROR(B172/INDEX($B:$B,ROW()-3)-1,"NA"))</f>
        <v>3.4141018359572506E-3</v>
      </c>
      <c r="F172" s="23">
        <f t="shared" si="2"/>
        <v>1.3810581530911283</v>
      </c>
    </row>
    <row r="173" spans="1:6">
      <c r="A173" s="20">
        <v>45352</v>
      </c>
      <c r="B173" s="11">
        <v>157466</v>
      </c>
      <c r="C173" s="22" cm="1">
        <f t="array" ref="C173">IF(ROW()&lt;14,"",IFERROR(B173/INDEX($B:$B,ROW()-12)-1,""))</f>
        <v>1.5032165740585635E-2</v>
      </c>
      <c r="D173" s="22" cm="1">
        <f t="array" ref="D173">IF(ROW()&lt;3,"NA",IFERROR(B173/INDEX($B:$B,ROW()-1)-1,"NA"))</f>
        <v>1.4500311629503937E-3</v>
      </c>
      <c r="E173" s="22" cm="1">
        <f t="array" ref="E173">IF(ROW()&lt;5,"NA",IFERROR(B173/INDEX($B:$B,ROW()-3)-1,"NA"))</f>
        <v>3.8825171971923478E-3</v>
      </c>
      <c r="F173" s="23">
        <f t="shared" si="2"/>
        <v>1.4065799773323859</v>
      </c>
    </row>
    <row r="174" spans="1:6">
      <c r="A174" s="20">
        <v>45383</v>
      </c>
      <c r="B174" s="11">
        <v>157530</v>
      </c>
      <c r="C174" s="22" cm="1">
        <f t="array" ref="C174">IF(ROW()&lt;14,"",IFERROR(B174/INDEX($B:$B,ROW()-12)-1,""))</f>
        <v>1.3869670152856006E-2</v>
      </c>
      <c r="D174" s="22" cm="1">
        <f t="array" ref="D174">IF(ROW()&lt;3,"NA",IFERROR(B174/INDEX($B:$B,ROW()-1)-1,"NA"))</f>
        <v>4.0643694511821593E-4</v>
      </c>
      <c r="E174" s="22" cm="1">
        <f t="array" ref="E174">IF(ROW()&lt;5,"NA",IFERROR(B174/INDEX($B:$B,ROW()-3)-1,"NA"))</f>
        <v>3.1713281369403212E-3</v>
      </c>
      <c r="F174" s="23">
        <f t="shared" si="2"/>
        <v>1.4137439981720372</v>
      </c>
    </row>
    <row r="175" spans="1:6">
      <c r="A175" s="20">
        <v>45413</v>
      </c>
      <c r="B175" s="11">
        <v>157608</v>
      </c>
      <c r="C175" s="22" cm="1">
        <f t="array" ref="C175">IF(ROW()&lt;14,"",IFERROR(B175/INDEX($B:$B,ROW()-12)-1,""))</f>
        <v>1.2546978895634497E-2</v>
      </c>
      <c r="D175" s="22" cm="1">
        <f t="array" ref="D175">IF(ROW()&lt;3,"NA",IFERROR(B175/INDEX($B:$B,ROW()-1)-1,"NA"))</f>
        <v>4.9514378213677546E-4</v>
      </c>
      <c r="E175" s="22" cm="1">
        <f t="array" ref="E175">IF(ROW()&lt;5,"NA",IFERROR(B175/INDEX($B:$B,ROW()-3)-1,"NA"))</f>
        <v>2.3531207468932003E-3</v>
      </c>
      <c r="F175" s="23">
        <f t="shared" si="2"/>
        <v>1.4224751485703622</v>
      </c>
    </row>
    <row r="176" spans="1:6">
      <c r="A176" s="20">
        <v>45444</v>
      </c>
      <c r="B176" s="11">
        <v>157695</v>
      </c>
      <c r="C176" s="22" cm="1">
        <f t="array" ref="C176">IF(ROW()&lt;14,"",IFERROR(B176/INDEX($B:$B,ROW()-12)-1,""))</f>
        <v>1.16435719784449E-2</v>
      </c>
      <c r="D176" s="22" cm="1">
        <f t="array" ref="D176">IF(ROW()&lt;3,"NA",IFERROR(B176/INDEX($B:$B,ROW()-1)-1,"NA"))</f>
        <v>5.5200243642450353E-4</v>
      </c>
      <c r="E176" s="22" cm="1">
        <f t="array" ref="E176">IF(ROW()&lt;5,"NA",IFERROR(B176/INDEX($B:$B,ROW()-3)-1,"NA"))</f>
        <v>1.4542821942513662E-3</v>
      </c>
      <c r="F176" s="23">
        <f t="shared" si="2"/>
        <v>1.4322137393992631</v>
      </c>
    </row>
    <row r="177" spans="1:6">
      <c r="A177" s="20">
        <v>45474</v>
      </c>
      <c r="B177" s="11">
        <v>157748</v>
      </c>
      <c r="C177" s="22" cm="1">
        <f t="array" ref="C177">IF(ROW()&lt;14,"",IFERROR(B177/INDEX($B:$B,ROW()-12)-1,""))</f>
        <v>1.0926475394602786E-2</v>
      </c>
      <c r="D177" s="22" cm="1">
        <f t="array" ref="D177">IF(ROW()&lt;3,"NA",IFERROR(B177/INDEX($B:$B,ROW()-1)-1,"NA"))</f>
        <v>3.3609182282257066E-4</v>
      </c>
      <c r="E177" s="22" cm="1">
        <f t="array" ref="E177">IF(ROW()&lt;5,"NA",IFERROR(B177/INDEX($B:$B,ROW()-3)-1,"NA"))</f>
        <v>1.3838633911000819E-3</v>
      </c>
      <c r="F177" s="23">
        <f t="shared" si="2"/>
        <v>1.4381464441570992</v>
      </c>
    </row>
    <row r="178" spans="1:6">
      <c r="A178" s="20">
        <v>45505</v>
      </c>
      <c r="B178" s="11">
        <v>157757</v>
      </c>
      <c r="C178" s="22" cm="1">
        <f t="array" ref="C178">IF(ROW()&lt;14,"",IFERROR(B178/INDEX($B:$B,ROW()-12)-1,""))</f>
        <v>9.5737260096888654E-3</v>
      </c>
      <c r="D178" s="22" cm="1">
        <f t="array" ref="D178">IF(ROW()&lt;3,"NA",IFERROR(B178/INDEX($B:$B,ROW()-1)-1,"NA"))</f>
        <v>5.7053021274455773E-5</v>
      </c>
      <c r="E178" s="22" cm="1">
        <f t="array" ref="E178">IF(ROW()&lt;5,"NA",IFERROR(B178/INDEX($B:$B,ROW()-3)-1,"NA"))</f>
        <v>9.4538348307193765E-4</v>
      </c>
      <c r="F178" s="23">
        <f t="shared" si="2"/>
        <v>1.4391538845876752</v>
      </c>
    </row>
    <row r="179" spans="1:6">
      <c r="A179" s="20">
        <v>45536</v>
      </c>
      <c r="B179" s="11">
        <v>157912</v>
      </c>
      <c r="C179" s="22" cm="1">
        <f t="array" ref="C179">IF(ROW()&lt;14,"",IFERROR(B179/INDEX($B:$B,ROW()-12)-1,""))</f>
        <v>9.5577846397769672E-3</v>
      </c>
      <c r="D179" s="22" cm="1">
        <f t="array" ref="D179">IF(ROW()&lt;3,"NA",IFERROR(B179/INDEX($B:$B,ROW()-1)-1,"NA"))</f>
        <v>9.8252375488883104E-4</v>
      </c>
      <c r="E179" s="22" cm="1">
        <f t="array" ref="E179">IF(ROW()&lt;5,"NA",IFERROR(B179/INDEX($B:$B,ROW()-3)-1,"NA"))</f>
        <v>1.3760740670281102E-3</v>
      </c>
      <c r="F179" s="23">
        <f t="shared" si="2"/>
        <v>1.4565042475587056</v>
      </c>
    </row>
    <row r="180" spans="1:6">
      <c r="A180" s="20">
        <v>45566</v>
      </c>
      <c r="B180" s="11">
        <v>157945</v>
      </c>
      <c r="C180" s="22" cm="1">
        <f t="array" ref="C180">IF(ROW()&lt;14,"",IFERROR(B180/INDEX($B:$B,ROW()-12)-1,""))</f>
        <v>8.7433578581648241E-3</v>
      </c>
      <c r="D180" s="22" cm="1">
        <f t="array" ref="D180">IF(ROW()&lt;3,"NA",IFERROR(B180/INDEX($B:$B,ROW()-1)-1,"NA"))</f>
        <v>2.0897715183143539E-4</v>
      </c>
      <c r="E180" s="22" cm="1">
        <f t="array" ref="E180">IF(ROW()&lt;5,"NA",IFERROR(B180/INDEX($B:$B,ROW()-3)-1,"NA"))</f>
        <v>1.2488272434516556E-3</v>
      </c>
      <c r="F180" s="23">
        <f t="shared" si="2"/>
        <v>1.4601981958041508</v>
      </c>
    </row>
    <row r="181" spans="1:6">
      <c r="A181" s="20">
        <v>45597</v>
      </c>
      <c r="B181" s="11">
        <v>158079</v>
      </c>
      <c r="C181" s="22" cm="1">
        <f t="array" ref="C181">IF(ROW()&lt;14,"",IFERROR(B181/INDEX($B:$B,ROW()-12)-1,""))</f>
        <v>8.780942292106797E-3</v>
      </c>
      <c r="D181" s="22" cm="1">
        <f t="array" ref="D181">IF(ROW()&lt;3,"NA",IFERROR(B181/INDEX($B:$B,ROW()-1)-1,"NA"))</f>
        <v>8.4839659375091081E-4</v>
      </c>
      <c r="E181" s="22" cm="1">
        <f t="array" ref="E181">IF(ROW()&lt;5,"NA",IFERROR(B181/INDEX($B:$B,ROW()-3)-1,"NA"))</f>
        <v>2.0411138649949478E-3</v>
      </c>
      <c r="F181" s="23">
        <f t="shared" si="2"/>
        <v>1.4751978644371706</v>
      </c>
    </row>
    <row r="182" spans="1:6">
      <c r="A182" s="20">
        <v>45627</v>
      </c>
      <c r="B182" s="11">
        <v>158316</v>
      </c>
      <c r="C182" s="22" cm="1">
        <f t="array" ref="C182">IF(ROW()&lt;14,"",IFERROR(B182/INDEX($B:$B,ROW()-12)-1,""))</f>
        <v>9.3014656661800643E-3</v>
      </c>
      <c r="D182" s="22" cm="1">
        <f t="array" ref="D182">IF(ROW()&lt;3,"NA",IFERROR(B182/INDEX($B:$B,ROW()-1)-1,"NA"))</f>
        <v>1.4992503748125774E-3</v>
      </c>
      <c r="E182" s="22" cm="1">
        <f t="array" ref="E182">IF(ROW()&lt;5,"NA",IFERROR(B182/INDEX($B:$B,ROW()-3)-1,"NA"))</f>
        <v>2.5583869496934586E-3</v>
      </c>
      <c r="F182" s="23">
        <f t="shared" si="2"/>
        <v>1.501727129109004</v>
      </c>
    </row>
    <row r="183" spans="1:6">
      <c r="A183" s="20">
        <v>45658</v>
      </c>
      <c r="B183" s="11">
        <v>158268</v>
      </c>
      <c r="C183" s="22" cm="1">
        <f t="array" ref="C183">IF(ROW()&lt;14,"",IFERROR(B183/INDEX($B:$B,ROW()-12)-1,""))</f>
        <v>7.8710071832492901E-3</v>
      </c>
      <c r="D183" s="22" cm="1">
        <f t="array" ref="D183">IF(ROW()&lt;3,"NA",IFERROR(B183/INDEX($B:$B,ROW()-1)-1,"NA"))</f>
        <v>-3.0319108618204194E-4</v>
      </c>
      <c r="E183" s="22" cm="1">
        <f t="array" ref="E183">IF(ROW()&lt;5,"NA",IFERROR(B183/INDEX($B:$B,ROW()-3)-1,"NA"))</f>
        <v>2.0450156700118072E-3</v>
      </c>
      <c r="F183" s="23">
        <f t="shared" si="2"/>
        <v>1.4963541134792655</v>
      </c>
    </row>
    <row r="184" spans="1:6">
      <c r="A184" s="20">
        <v>45689</v>
      </c>
      <c r="B184" s="11">
        <v>158310</v>
      </c>
      <c r="C184" s="22" cm="1">
        <f t="array" ref="C184">IF(ROW()&lt;14,"",IFERROR(B184/INDEX($B:$B,ROW()-12)-1,""))</f>
        <v>6.8176903801879796E-3</v>
      </c>
      <c r="D184" s="22" cm="1">
        <f t="array" ref="D184">IF(ROW()&lt;3,"NA",IFERROR(B184/INDEX($B:$B,ROW()-1)-1,"NA"))</f>
        <v>2.6537265903403551E-4</v>
      </c>
      <c r="E184" s="22" cm="1">
        <f t="array" ref="E184">IF(ROW()&lt;5,"NA",IFERROR(B184/INDEX($B:$B,ROW()-3)-1,"NA"))</f>
        <v>1.4612946691210382E-3</v>
      </c>
      <c r="F184" s="23">
        <f t="shared" si="2"/>
        <v>1.5010555021552867</v>
      </c>
    </row>
    <row r="185" spans="1:6">
      <c r="A185" s="20">
        <v>45717</v>
      </c>
      <c r="B185" s="11">
        <v>158377</v>
      </c>
      <c r="C185" s="22" cm="1">
        <f t="array" ref="C185">IF(ROW()&lt;14,"",IFERROR(B185/INDEX($B:$B,ROW()-12)-1,""))</f>
        <v>5.7853758906685204E-3</v>
      </c>
      <c r="D185" s="22" cm="1">
        <f t="array" ref="D185">IF(ROW()&lt;3,"NA",IFERROR(B185/INDEX($B:$B,ROW()-1)-1,"NA"))</f>
        <v>4.2322026403884827E-4</v>
      </c>
      <c r="E185" s="22" cm="1">
        <f t="array" ref="E185">IF(ROW()&lt;5,"NA",IFERROR(B185/INDEX($B:$B,ROW()-3)-1,"NA"))</f>
        <v>3.8530533868974537E-4</v>
      </c>
      <c r="F185" s="23">
        <f t="shared" si="2"/>
        <v>1.5085553364717967</v>
      </c>
    </row>
    <row r="186" spans="1:6">
      <c r="A186" s="20">
        <v>45748</v>
      </c>
      <c r="B186" s="11">
        <v>158485</v>
      </c>
      <c r="C186" s="22" cm="1">
        <f t="array" ref="C186">IF(ROW()&lt;14,"",IFERROR(B186/INDEX($B:$B,ROW()-12)-1,""))</f>
        <v>6.0623373325716656E-3</v>
      </c>
      <c r="D186" s="22" cm="1">
        <f t="array" ref="D186">IF(ROW()&lt;3,"NA",IFERROR(B186/INDEX($B:$B,ROW()-1)-1,"NA"))</f>
        <v>6.8191719757293434E-4</v>
      </c>
      <c r="E186" s="22" cm="1">
        <f t="array" ref="E186">IF(ROW()&lt;5,"NA",IFERROR(B186/INDEX($B:$B,ROW()-3)-1,"NA"))</f>
        <v>1.3710920716758501E-3</v>
      </c>
      <c r="F186" s="23">
        <f t="shared" si="2"/>
        <v>1.5206446216387082</v>
      </c>
    </row>
    <row r="187" spans="1:6">
      <c r="A187" s="20">
        <v>45778</v>
      </c>
      <c r="B187" s="11">
        <v>158498</v>
      </c>
      <c r="C187" s="22" cm="1">
        <f t="array" ref="C187">IF(ROW()&lt;14,"",IFERROR(B187/INDEX($B:$B,ROW()-12)-1,""))</f>
        <v>5.6469214760672681E-3</v>
      </c>
      <c r="D187" s="22" cm="1">
        <f t="array" ref="D187">IF(ROW()&lt;3,"NA",IFERROR(B187/INDEX($B:$B,ROW()-1)-1,"NA"))</f>
        <v>8.2026690223058196E-5</v>
      </c>
      <c r="E187" s="22" cm="1">
        <f t="array" ref="E187">IF(ROW()&lt;5,"NA",IFERROR(B187/INDEX($B:$B,ROW()-3)-1,"NA"))</f>
        <v>1.1875434274524199E-3</v>
      </c>
      <c r="F187" s="23">
        <f t="shared" si="2"/>
        <v>1.5220998133717623</v>
      </c>
    </row>
    <row r="188" spans="1:6">
      <c r="A188" s="20">
        <v>45809</v>
      </c>
      <c r="B188" s="11">
        <v>158478</v>
      </c>
      <c r="C188" s="22" cm="1">
        <f t="array" ref="C188">IF(ROW()&lt;14,"",IFERROR(B188/INDEX($B:$B,ROW()-12)-1,""))</f>
        <v>4.9652810805669301E-3</v>
      </c>
      <c r="D188" s="22" cm="1">
        <f t="array" ref="D188">IF(ROW()&lt;3,"NA",IFERROR(B188/INDEX($B:$B,ROW()-1)-1,"NA"))</f>
        <v>-1.2618455753388158E-4</v>
      </c>
      <c r="E188" s="22" cm="1">
        <f t="array" ref="E188">IF(ROW()&lt;5,"NA",IFERROR(B188/INDEX($B:$B,ROW()-3)-1,"NA"))</f>
        <v>6.3771886069319272E-4</v>
      </c>
      <c r="F188" s="23">
        <f t="shared" si="2"/>
        <v>1.5198610568593713</v>
      </c>
    </row>
    <row r="189" spans="1:6">
      <c r="A189" s="20">
        <v>45839</v>
      </c>
      <c r="B189" s="11">
        <v>158542</v>
      </c>
      <c r="C189" s="22" cm="1">
        <f t="array" ref="C189">IF(ROW()&lt;14,"",IFERROR(B189/INDEX($B:$B,ROW()-12)-1,""))</f>
        <v>5.0333443213226303E-3</v>
      </c>
      <c r="D189" s="22" cm="1">
        <f t="array" ref="D189">IF(ROW()&lt;3,"NA",IFERROR(B189/INDEX($B:$B,ROW()-1)-1,"NA"))</f>
        <v>4.0384154267458783E-4</v>
      </c>
      <c r="E189" s="22" cm="1">
        <f t="array" ref="E189">IF(ROW()&lt;5,"NA",IFERROR(B189/INDEX($B:$B,ROW()-3)-1,"NA"))</f>
        <v>3.5965548790106716E-4</v>
      </c>
      <c r="F189" s="23">
        <f t="shared" si="2"/>
        <v>1.5270250776990226</v>
      </c>
    </row>
    <row r="190" spans="1:6">
      <c r="A190" s="20">
        <v>45870</v>
      </c>
      <c r="B190" s="11">
        <v>158472</v>
      </c>
      <c r="C190" s="22" cm="1">
        <f t="array" ref="C190">IF(ROW()&lt;14,"",IFERROR(B190/INDEX($B:$B,ROW()-12)-1,""))</f>
        <v>4.5322869983581704E-3</v>
      </c>
      <c r="D190" s="22" cm="1">
        <f t="array" ref="D190">IF(ROW()&lt;3,"NA",IFERROR(B190/INDEX($B:$B,ROW()-1)-1,"NA"))</f>
        <v>-4.4152338181679962E-4</v>
      </c>
      <c r="E190" s="22" cm="1">
        <f t="array" ref="E190">IF(ROW()&lt;5,"NA",IFERROR(B190/INDEX($B:$B,ROW()-3)-1,"NA"))</f>
        <v>-1.6403992479396834E-4</v>
      </c>
      <c r="F190" s="23">
        <f t="shared" si="2"/>
        <v>1.5191894299056539</v>
      </c>
    </row>
    <row r="191" spans="1:6">
      <c r="A191" s="20">
        <v>45901</v>
      </c>
      <c r="B191" s="11">
        <v>158548</v>
      </c>
      <c r="C191" s="22" cm="1">
        <f t="array" ref="C191">IF(ROW()&lt;14,"",IFERROR(B191/INDEX($B:$B,ROW()-12)-1,""))</f>
        <v>4.0275596534777858E-3</v>
      </c>
      <c r="D191" s="22" cm="1">
        <f t="array" ref="D191">IF(ROW()&lt;3,"NA",IFERROR(B191/INDEX($B:$B,ROW()-1)-1,"NA"))</f>
        <v>4.7957998889391895E-4</v>
      </c>
      <c r="E191" s="22" cm="1">
        <f t="array" ref="E191">IF(ROW()&lt;5,"NA",IFERROR(B191/INDEX($B:$B,ROW()-3)-1,"NA"))</f>
        <v>4.4170168730039983E-4</v>
      </c>
      <c r="F191" s="23">
        <f t="shared" si="2"/>
        <v>1.5276967046527399</v>
      </c>
    </row>
    <row r="192" spans="1:6">
      <c r="A192" s="20">
        <v>45931</v>
      </c>
      <c r="B192" s="11">
        <v>158408</v>
      </c>
      <c r="C192" s="22" cm="1">
        <f t="array" ref="C192">IF(ROW()&lt;14,"",IFERROR(B192/INDEX($B:$B,ROW()-12)-1,""))</f>
        <v>2.9314001709455084E-3</v>
      </c>
      <c r="D192" s="22" cm="1">
        <f t="array" ref="D192">IF(ROW()&lt;3,"NA",IFERROR(B192/INDEX($B:$B,ROW()-1)-1,"NA"))</f>
        <v>-8.8301334611595728E-4</v>
      </c>
      <c r="E192" s="22" cm="1">
        <f t="array" ref="E192">IF(ROW()&lt;5,"NA",IFERROR(B192/INDEX($B:$B,ROW()-3)-1,"NA"))</f>
        <v>-8.4520190233505765E-4</v>
      </c>
      <c r="F192" s="23">
        <f t="shared" si="2"/>
        <v>1.5120254090660028</v>
      </c>
    </row>
    <row r="193" spans="1:6">
      <c r="A193" s="20">
        <v>45962</v>
      </c>
      <c r="B193" s="11">
        <v>158449</v>
      </c>
      <c r="C193" s="22" cm="1">
        <f t="array" ref="C193">IF(ROW()&lt;14,"",IFERROR(B193/INDEX($B:$B,ROW()-12)-1,""))</f>
        <v>2.3406018509732895E-3</v>
      </c>
      <c r="D193" s="22" cm="1">
        <f t="array" ref="D193">IF(ROW()&lt;3,"NA",IFERROR(B193/INDEX($B:$B,ROW()-1)-1,"NA"))</f>
        <v>2.5882531185295043E-4</v>
      </c>
      <c r="E193" s="22" cm="1">
        <f t="array" ref="E193">IF(ROW()&lt;5,"NA",IFERROR(B193/INDEX($B:$B,ROW()-3)-1,"NA"))</f>
        <v>-1.4513604927057777E-4</v>
      </c>
      <c r="F193" s="23">
        <f t="shared" si="2"/>
        <v>1.5166148599164042</v>
      </c>
    </row>
    <row r="194" spans="1:6">
      <c r="A194" s="20">
        <v>45992</v>
      </c>
      <c r="B194" s="11">
        <v>158497</v>
      </c>
      <c r="C194" s="22" cm="1">
        <f t="array" ref="C194">IF(ROW()&lt;14,"",IFERROR(B194/INDEX($B:$B,ROW()-12)-1,""))</f>
        <v>1.1432830541449057E-3</v>
      </c>
      <c r="D194" s="22" cm="1">
        <f t="array" ref="D194">IF(ROW()&lt;3,"NA",IFERROR(B194/INDEX($B:$B,ROW()-1)-1,"NA"))</f>
        <v>3.0293659158475705E-4</v>
      </c>
      <c r="E194" s="22" cm="1">
        <f t="array" ref="E194">IF(ROW()&lt;5,"NA",IFERROR(B194/INDEX($B:$B,ROW()-3)-1,"NA"))</f>
        <v>-3.2166914751363684E-4</v>
      </c>
      <c r="F194" s="23">
        <f t="shared" si="2"/>
        <v>1.5219878755461427</v>
      </c>
    </row>
    <row r="195" spans="1:6">
      <c r="A195" s="20">
        <v>46023</v>
      </c>
      <c r="B195" s="11">
        <v>158627</v>
      </c>
      <c r="C195" s="22" cm="1">
        <f t="array" ref="C195">IF(ROW()&lt;14,"",IFERROR(B195/INDEX($B:$B,ROW()-12)-1,""))</f>
        <v>2.2683043950766368E-3</v>
      </c>
      <c r="D195" s="22" cm="1">
        <f t="array" ref="D195">IF(ROW()&lt;3,"NA",IFERROR(B195/INDEX($B:$B,ROW()-1)-1,"NA"))</f>
        <v>8.2020479882904951E-4</v>
      </c>
      <c r="E195" s="22" cm="1">
        <f t="array" ref="E195">IF(ROW()&lt;5,"NA",IFERROR(B195/INDEX($B:$B,ROW()-3)-1,"NA"))</f>
        <v>1.3825059340437651E-3</v>
      </c>
      <c r="F195" s="23">
        <f t="shared" si="2"/>
        <v>1.5365397928766844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D800-8D28-4EDE-ABA4-D499A3E3D01A}">
  <dimension ref="A1:F195"/>
  <sheetViews>
    <sheetView workbookViewId="0">
      <selection activeCell="E27" sqref="E27"/>
    </sheetView>
  </sheetViews>
  <sheetFormatPr defaultRowHeight="15"/>
  <cols>
    <col min="1" max="1" width="19.7109375" customWidth="1"/>
    <col min="2" max="2" width="11.140625" style="3" customWidth="1"/>
    <col min="3" max="4" width="12.7109375" style="4" customWidth="1"/>
    <col min="5" max="5" width="18.140625" style="4" customWidth="1"/>
    <col min="6" max="6" width="11.5703125" style="3" customWidth="1"/>
  </cols>
  <sheetData>
    <row r="1" spans="1:6">
      <c r="A1" t="s">
        <v>46</v>
      </c>
      <c r="B1" s="14"/>
      <c r="C1" s="15"/>
      <c r="D1" s="15"/>
      <c r="E1" s="15"/>
      <c r="F1" s="14"/>
    </row>
    <row r="2" spans="1:6">
      <c r="A2" s="16" t="s">
        <v>28</v>
      </c>
      <c r="B2" s="12" t="s">
        <v>47</v>
      </c>
      <c r="C2" s="18" t="s">
        <v>48</v>
      </c>
      <c r="D2" s="18" t="s">
        <v>49</v>
      </c>
      <c r="E2" s="18" t="s">
        <v>50</v>
      </c>
      <c r="F2" s="19" t="s">
        <v>51</v>
      </c>
    </row>
    <row r="3" spans="1:6">
      <c r="A3" s="20">
        <v>40179</v>
      </c>
      <c r="B3" s="11">
        <v>11156.8</v>
      </c>
      <c r="C3" s="22" t="str" cm="1">
        <f t="array" ref="C3">IF(ROW()&lt;14,"",IFERROR(B3/INDEX($B:$B,ROW()-12)-1,""))</f>
        <v/>
      </c>
      <c r="D3" s="22" t="str" cm="1">
        <f t="array" ref="D3">IF(ROW()&lt;3,"NA",IFERROR(B3/INDEX($B:$B,ROW()-1)-1,"NA"))</f>
        <v>NA</v>
      </c>
      <c r="E3" s="22" t="str" cm="1">
        <f t="array" ref="E3">IF(ROW()&lt;5,"NA",IFERROR(B3/INDEX($B:$B,ROW()-3)-1,"NA"))</f>
        <v>NA</v>
      </c>
      <c r="F3" s="23">
        <f>IFERROR((B3-AVERAGE($B:$B))/_xlfn.STDEV.S($B:$B),"")</f>
        <v>-1.4627205638533987</v>
      </c>
    </row>
    <row r="4" spans="1:6">
      <c r="A4" s="20">
        <v>40210</v>
      </c>
      <c r="B4" s="11">
        <v>11198.6</v>
      </c>
      <c r="C4" s="22" t="str" cm="1">
        <f t="array" ref="C4">IF(ROW()&lt;14,"",IFERROR(B4/INDEX($B:$B,ROW()-12)-1,""))</f>
        <v/>
      </c>
      <c r="D4" s="22" cm="1">
        <f t="array" ref="D4">IF(ROW()&lt;3,"NA",IFERROR(B4/INDEX($B:$B,ROW()-1)-1,"NA"))</f>
        <v>3.7465940054497437E-3</v>
      </c>
      <c r="E4" s="22" t="str" cm="1">
        <f t="array" ref="E4">IF(ROW()&lt;5,"NA",IFERROR(B4/INDEX($B:$B,ROW()-3)-1,"NA"))</f>
        <v>NA</v>
      </c>
      <c r="F4" s="23">
        <f t="shared" ref="F4:F67" si="0">IFERROR((B4-AVERAGE($B:$B))/_xlfn.STDEV.S($B:$B),"")</f>
        <v>-1.4373087463959895</v>
      </c>
    </row>
    <row r="5" spans="1:6">
      <c r="A5" s="20">
        <v>40238</v>
      </c>
      <c r="B5" s="11">
        <v>11252.1</v>
      </c>
      <c r="C5" s="22" t="str" cm="1">
        <f t="array" ref="C5">IF(ROW()&lt;14,"",IFERROR(B5/INDEX($B:$B,ROW()-12)-1,""))</f>
        <v/>
      </c>
      <c r="D5" s="22" cm="1">
        <f t="array" ref="D5">IF(ROW()&lt;3,"NA",IFERROR(B5/INDEX($B:$B,ROW()-1)-1,"NA"))</f>
        <v>4.7773828871466861E-3</v>
      </c>
      <c r="E5" s="22" t="str" cm="1">
        <f t="array" ref="E5">IF(ROW()&lt;5,"NA",IFERROR(B5/INDEX($B:$B,ROW()-3)-1,"NA"))</f>
        <v>NA</v>
      </c>
      <c r="F5" s="23">
        <f t="shared" si="0"/>
        <v>-1.404784051803373</v>
      </c>
    </row>
    <row r="6" spans="1:6">
      <c r="A6" s="20">
        <v>40269</v>
      </c>
      <c r="B6" s="11">
        <v>11275.1</v>
      </c>
      <c r="C6" s="22" t="str" cm="1">
        <f t="array" ref="C6">IF(ROW()&lt;14,"",IFERROR(B6/INDEX($B:$B,ROW()-12)-1,""))</f>
        <v/>
      </c>
      <c r="D6" s="22" cm="1">
        <f t="array" ref="D6">IF(ROW()&lt;3,"NA",IFERROR(B6/INDEX($B:$B,ROW()-1)-1,"NA"))</f>
        <v>2.0440628860389776E-3</v>
      </c>
      <c r="E6" s="22" cm="1">
        <f t="array" ref="E6">IF(ROW()&lt;5,"NA",IFERROR(B6/INDEX($B:$B,ROW()-3)-1,"NA"))</f>
        <v>1.0603398824035715E-2</v>
      </c>
      <c r="F6" s="23">
        <f t="shared" si="0"/>
        <v>-1.3908014728196314</v>
      </c>
    </row>
    <row r="7" spans="1:6">
      <c r="A7" s="20">
        <v>40299</v>
      </c>
      <c r="B7" s="11">
        <v>11303.2</v>
      </c>
      <c r="C7" s="22" t="str" cm="1">
        <f t="array" ref="C7">IF(ROW()&lt;14,"",IFERROR(B7/INDEX($B:$B,ROW()-12)-1,""))</f>
        <v/>
      </c>
      <c r="D7" s="22" cm="1">
        <f t="array" ref="D7">IF(ROW()&lt;3,"NA",IFERROR(B7/INDEX($B:$B,ROW()-1)-1,"NA"))</f>
        <v>2.4922173639259082E-3</v>
      </c>
      <c r="E7" s="22" cm="1">
        <f t="array" ref="E7">IF(ROW()&lt;5,"NA",IFERROR(B7/INDEX($B:$B,ROW()-3)-1,"NA"))</f>
        <v>9.3404532709446819E-3</v>
      </c>
      <c r="F7" s="23">
        <f t="shared" si="0"/>
        <v>-1.373718408930799</v>
      </c>
    </row>
    <row r="8" spans="1:6">
      <c r="A8" s="20">
        <v>40330</v>
      </c>
      <c r="B8" s="11">
        <v>11330.6</v>
      </c>
      <c r="C8" s="22" t="str" cm="1">
        <f t="array" ref="C8">IF(ROW()&lt;14,"",IFERROR(B8/INDEX($B:$B,ROW()-12)-1,""))</f>
        <v/>
      </c>
      <c r="D8" s="22" cm="1">
        <f t="array" ref="D8">IF(ROW()&lt;3,"NA",IFERROR(B8/INDEX($B:$B,ROW()-1)-1,"NA"))</f>
        <v>2.4240922924481101E-3</v>
      </c>
      <c r="E8" s="22" cm="1">
        <f t="array" ref="E8">IF(ROW()&lt;5,"NA",IFERROR(B8/INDEX($B:$B,ROW()-3)-1,"NA"))</f>
        <v>6.9764755023506986E-3</v>
      </c>
      <c r="F8" s="23">
        <f t="shared" si="0"/>
        <v>-1.3570609017936461</v>
      </c>
    </row>
    <row r="9" spans="1:6">
      <c r="A9" s="20">
        <v>40360</v>
      </c>
      <c r="B9" s="11">
        <v>11361.7</v>
      </c>
      <c r="C9" s="22" t="str" cm="1">
        <f t="array" ref="C9">IF(ROW()&lt;14,"",IFERROR(B9/INDEX($B:$B,ROW()-12)-1,""))</f>
        <v/>
      </c>
      <c r="D9" s="22" cm="1">
        <f t="array" ref="D9">IF(ROW()&lt;3,"NA",IFERROR(B9/INDEX($B:$B,ROW()-1)-1,"NA"))</f>
        <v>2.7447796233208699E-3</v>
      </c>
      <c r="E9" s="22" cm="1">
        <f t="array" ref="E9">IF(ROW()&lt;5,"NA",IFERROR(B9/INDEX($B:$B,ROW()-3)-1,"NA"))</f>
        <v>7.6806414133798739E-3</v>
      </c>
      <c r="F9" s="23">
        <f t="shared" si="0"/>
        <v>-1.3381540232547606</v>
      </c>
    </row>
    <row r="10" spans="1:6">
      <c r="A10" s="20">
        <v>40391</v>
      </c>
      <c r="B10" s="11">
        <v>11389.2</v>
      </c>
      <c r="C10" s="22" t="str" cm="1">
        <f t="array" ref="C10">IF(ROW()&lt;14,"",IFERROR(B10/INDEX($B:$B,ROW()-12)-1,""))</f>
        <v/>
      </c>
      <c r="D10" s="22" cm="1">
        <f t="array" ref="D10">IF(ROW()&lt;3,"NA",IFERROR(B10/INDEX($B:$B,ROW()-1)-1,"NA"))</f>
        <v>2.4204124382793957E-3</v>
      </c>
      <c r="E10" s="22" cm="1">
        <f t="array" ref="E10">IF(ROW()&lt;5,"NA",IFERROR(B10/INDEX($B:$B,ROW()-3)-1,"NA"))</f>
        <v>7.6084648595087234E-3</v>
      </c>
      <c r="F10" s="23">
        <f t="shared" si="0"/>
        <v>-1.321435722295939</v>
      </c>
    </row>
    <row r="11" spans="1:6">
      <c r="A11" s="20">
        <v>40422</v>
      </c>
      <c r="B11" s="11">
        <v>11399.9</v>
      </c>
      <c r="C11" s="22" t="str" cm="1">
        <f t="array" ref="C11">IF(ROW()&lt;14,"",IFERROR(B11/INDEX($B:$B,ROW()-12)-1,""))</f>
        <v/>
      </c>
      <c r="D11" s="22" cm="1">
        <f t="array" ref="D11">IF(ROW()&lt;3,"NA",IFERROR(B11/INDEX($B:$B,ROW()-1)-1,"NA"))</f>
        <v>9.3948653109943159E-4</v>
      </c>
      <c r="E11" s="22" cm="1">
        <f t="array" ref="E11">IF(ROW()&lt;5,"NA",IFERROR(B11/INDEX($B:$B,ROW()-3)-1,"NA"))</f>
        <v>6.1161809612906293E-3</v>
      </c>
      <c r="F11" s="23">
        <f t="shared" si="0"/>
        <v>-1.3149307833774164</v>
      </c>
    </row>
    <row r="12" spans="1:6">
      <c r="A12" s="20">
        <v>40452</v>
      </c>
      <c r="B12" s="11">
        <v>11428.9</v>
      </c>
      <c r="C12" s="22" t="str" cm="1">
        <f t="array" ref="C12">IF(ROW()&lt;14,"",IFERROR(B12/INDEX($B:$B,ROW()-12)-1,""))</f>
        <v/>
      </c>
      <c r="D12" s="22" cm="1">
        <f t="array" ref="D12">IF(ROW()&lt;3,"NA",IFERROR(B12/INDEX($B:$B,ROW()-1)-1,"NA"))</f>
        <v>2.5438819638767818E-3</v>
      </c>
      <c r="E12" s="22" cm="1">
        <f t="array" ref="E12">IF(ROW()&lt;5,"NA",IFERROR(B12/INDEX($B:$B,ROW()-3)-1,"NA"))</f>
        <v>5.9146078491774112E-3</v>
      </c>
      <c r="F12" s="23">
        <f t="shared" si="0"/>
        <v>-1.2973005750935682</v>
      </c>
    </row>
    <row r="13" spans="1:6">
      <c r="A13" s="20">
        <v>40483</v>
      </c>
      <c r="B13" s="11">
        <v>11458</v>
      </c>
      <c r="C13" s="22" t="str" cm="1">
        <f t="array" ref="C13">IF(ROW()&lt;14,"",IFERROR(B13/INDEX($B:$B,ROW()-12)-1,""))</f>
        <v/>
      </c>
      <c r="D13" s="22" cm="1">
        <f t="array" ref="D13">IF(ROW()&lt;3,"NA",IFERROR(B13/INDEX($B:$B,ROW()-1)-1,"NA"))</f>
        <v>2.5461767974170879E-3</v>
      </c>
      <c r="E13" s="22" cm="1">
        <f t="array" ref="E13">IF(ROW()&lt;5,"NA",IFERROR(B13/INDEX($B:$B,ROW()-3)-1,"NA"))</f>
        <v>6.0408105924911748E-3</v>
      </c>
      <c r="F13" s="23">
        <f t="shared" si="0"/>
        <v>-1.2796095729880514</v>
      </c>
    </row>
    <row r="14" spans="1:6">
      <c r="A14" s="20">
        <v>40513</v>
      </c>
      <c r="B14" s="11">
        <v>11473.2</v>
      </c>
      <c r="C14" s="22" t="str" cm="1">
        <f t="array" ref="C14">IF(ROW()&lt;14,"",IFERROR(B14/INDEX($B:$B,ROW()-12)-1,""))</f>
        <v/>
      </c>
      <c r="D14" s="22" cm="1">
        <f t="array" ref="D14">IF(ROW()&lt;3,"NA",IFERROR(B14/INDEX($B:$B,ROW()-1)-1,"NA"))</f>
        <v>1.326584046081436E-3</v>
      </c>
      <c r="E14" s="22" cm="1">
        <f t="array" ref="E14">IF(ROW()&lt;5,"NA",IFERROR(B14/INDEX($B:$B,ROW()-3)-1,"NA"))</f>
        <v>6.4298809638680954E-3</v>
      </c>
      <c r="F14" s="23">
        <f t="shared" si="0"/>
        <v>-1.2703689120944479</v>
      </c>
    </row>
    <row r="15" spans="1:6">
      <c r="A15" s="20">
        <v>40544</v>
      </c>
      <c r="B15" s="11">
        <v>11486</v>
      </c>
      <c r="C15" s="22" cm="1">
        <f t="array" ref="C15">IF(ROW()&lt;14,"",IFERROR(B15/INDEX($B:$B,ROW()-12)-1,""))</f>
        <v>2.9506668578804129E-2</v>
      </c>
      <c r="D15" s="22" cm="1">
        <f t="array" ref="D15">IF(ROW()&lt;3,"NA",IFERROR(B15/INDEX($B:$B,ROW()-1)-1,"NA"))</f>
        <v>1.1156434124741654E-3</v>
      </c>
      <c r="E15" s="22" cm="1">
        <f t="array" ref="E15">IF(ROW()&lt;5,"NA",IFERROR(B15/INDEX($B:$B,ROW()-3)-1,"NA"))</f>
        <v>4.9961063619421431E-3</v>
      </c>
      <c r="F15" s="23">
        <f t="shared" si="0"/>
        <v>-1.2625873029208878</v>
      </c>
    </row>
    <row r="16" spans="1:6">
      <c r="A16" s="20">
        <v>40575</v>
      </c>
      <c r="B16" s="11">
        <v>11482.8</v>
      </c>
      <c r="C16" s="22" cm="1">
        <f t="array" ref="C16">IF(ROW()&lt;14,"",IFERROR(B16/INDEX($B:$B,ROW()-12)-1,""))</f>
        <v>2.5378172271533828E-2</v>
      </c>
      <c r="D16" s="22" cm="1">
        <f t="array" ref="D16">IF(ROW()&lt;3,"NA",IFERROR(B16/INDEX($B:$B,ROW()-1)-1,"NA"))</f>
        <v>-2.7860003482504947E-4</v>
      </c>
      <c r="E16" s="22" cm="1">
        <f t="array" ref="E16">IF(ROW()&lt;5,"NA",IFERROR(B16/INDEX($B:$B,ROW()-3)-1,"NA"))</f>
        <v>2.1644266015010682E-3</v>
      </c>
      <c r="F16" s="23">
        <f t="shared" si="0"/>
        <v>-1.2645327052142783</v>
      </c>
    </row>
    <row r="17" spans="1:6">
      <c r="A17" s="20">
        <v>40603</v>
      </c>
      <c r="B17" s="11">
        <v>11522.6</v>
      </c>
      <c r="C17" s="22" cm="1">
        <f t="array" ref="C17">IF(ROW()&lt;14,"",IFERROR(B17/INDEX($B:$B,ROW()-12)-1,""))</f>
        <v>2.4039956985807187E-2</v>
      </c>
      <c r="D17" s="22" cm="1">
        <f t="array" ref="D17">IF(ROW()&lt;3,"NA",IFERROR(B17/INDEX($B:$B,ROW()-1)-1,"NA"))</f>
        <v>3.4660535757831124E-3</v>
      </c>
      <c r="E17" s="22" cm="1">
        <f t="array" ref="E17">IF(ROW()&lt;5,"NA",IFERROR(B17/INDEX($B:$B,ROW()-3)-1,"NA"))</f>
        <v>4.3056862950179298E-3</v>
      </c>
      <c r="F17" s="23">
        <f t="shared" si="0"/>
        <v>-1.2403367641902379</v>
      </c>
    </row>
    <row r="18" spans="1:6">
      <c r="A18" s="20">
        <v>40634</v>
      </c>
      <c r="B18" s="11">
        <v>11508.9</v>
      </c>
      <c r="C18" s="22" cm="1">
        <f t="array" ref="C18">IF(ROW()&lt;14,"",IFERROR(B18/INDEX($B:$B,ROW()-12)-1,""))</f>
        <v>2.0735957995937859E-2</v>
      </c>
      <c r="D18" s="22" cm="1">
        <f t="array" ref="D18">IF(ROW()&lt;3,"NA",IFERROR(B18/INDEX($B:$B,ROW()-1)-1,"NA"))</f>
        <v>-1.1889677676913957E-3</v>
      </c>
      <c r="E18" s="22" cm="1">
        <f t="array" ref="E18">IF(ROW()&lt;5,"NA",IFERROR(B18/INDEX($B:$B,ROW()-3)-1,"NA"))</f>
        <v>1.9937314992164445E-3</v>
      </c>
      <c r="F18" s="23">
        <f t="shared" si="0"/>
        <v>-1.2486655177588148</v>
      </c>
    </row>
    <row r="19" spans="1:6">
      <c r="A19" s="20">
        <v>40664</v>
      </c>
      <c r="B19" s="11">
        <v>11495.6</v>
      </c>
      <c r="C19" s="22" cm="1">
        <f t="array" ref="C19">IF(ROW()&lt;14,"",IFERROR(B19/INDEX($B:$B,ROW()-12)-1,""))</f>
        <v>1.70217283601104E-2</v>
      </c>
      <c r="D19" s="22" cm="1">
        <f t="array" ref="D19">IF(ROW()&lt;3,"NA",IFERROR(B19/INDEX($B:$B,ROW()-1)-1,"NA"))</f>
        <v>-1.1556273840245268E-3</v>
      </c>
      <c r="E19" s="22" cm="1">
        <f t="array" ref="E19">IF(ROW()&lt;5,"NA",IFERROR(B19/INDEX($B:$B,ROW()-3)-1,"NA"))</f>
        <v>1.114710697739385E-3</v>
      </c>
      <c r="F19" s="23">
        <f t="shared" si="0"/>
        <v>-1.2567510960407171</v>
      </c>
    </row>
    <row r="20" spans="1:6">
      <c r="A20" s="20">
        <v>40695</v>
      </c>
      <c r="B20" s="11">
        <v>11522.3</v>
      </c>
      <c r="C20" s="22" cm="1">
        <f t="array" ref="C20">IF(ROW()&lt;14,"",IFERROR(B20/INDEX($B:$B,ROW()-12)-1,""))</f>
        <v>1.691878629551824E-2</v>
      </c>
      <c r="D20" s="22" cm="1">
        <f t="array" ref="D20">IF(ROW()&lt;3,"NA",IFERROR(B20/INDEX($B:$B,ROW()-1)-1,"NA"))</f>
        <v>2.3226277880230572E-3</v>
      </c>
      <c r="E20" s="22" cm="1">
        <f t="array" ref="E20">IF(ROW()&lt;5,"NA",IFERROR(B20/INDEX($B:$B,ROW()-3)-1,"NA"))</f>
        <v>-2.6035790533507353E-5</v>
      </c>
      <c r="F20" s="23">
        <f t="shared" si="0"/>
        <v>-1.2405191456552438</v>
      </c>
    </row>
    <row r="21" spans="1:6">
      <c r="A21" s="20">
        <v>40725</v>
      </c>
      <c r="B21" s="11">
        <v>11542.3</v>
      </c>
      <c r="C21" s="22" cm="1">
        <f t="array" ref="C21">IF(ROW()&lt;14,"",IFERROR(B21/INDEX($B:$B,ROW()-12)-1,""))</f>
        <v>1.5895508594664376E-2</v>
      </c>
      <c r="D21" s="22" cm="1">
        <f t="array" ref="D21">IF(ROW()&lt;3,"NA",IFERROR(B21/INDEX($B:$B,ROW()-1)-1,"NA"))</f>
        <v>1.7357645608948591E-3</v>
      </c>
      <c r="E21" s="22" cm="1">
        <f t="array" ref="E21">IF(ROW()&lt;5,"NA",IFERROR(B21/INDEX($B:$B,ROW()-3)-1,"NA"))</f>
        <v>2.9021018516104391E-3</v>
      </c>
      <c r="F21" s="23">
        <f t="shared" si="0"/>
        <v>-1.2283603813215556</v>
      </c>
    </row>
    <row r="22" spans="1:6">
      <c r="A22" s="20">
        <v>40756</v>
      </c>
      <c r="B22" s="11">
        <v>11535.3</v>
      </c>
      <c r="C22" s="22" cm="1">
        <f t="array" ref="C22">IF(ROW()&lt;14,"",IFERROR(B22/INDEX($B:$B,ROW()-12)-1,""))</f>
        <v>1.2827942261089298E-2</v>
      </c>
      <c r="D22" s="22" cm="1">
        <f t="array" ref="D22">IF(ROW()&lt;3,"NA",IFERROR(B22/INDEX($B:$B,ROW()-1)-1,"NA"))</f>
        <v>-6.0646491600457875E-4</v>
      </c>
      <c r="E22" s="22" cm="1">
        <f t="array" ref="E22">IF(ROW()&lt;5,"NA",IFERROR(B22/INDEX($B:$B,ROW()-3)-1,"NA"))</f>
        <v>3.4534952503566529E-3</v>
      </c>
      <c r="F22" s="23">
        <f t="shared" si="0"/>
        <v>-1.2326159488383464</v>
      </c>
    </row>
    <row r="23" spans="1:6">
      <c r="A23" s="20">
        <v>40787</v>
      </c>
      <c r="B23" s="11">
        <v>11554.3</v>
      </c>
      <c r="C23" s="22" cm="1">
        <f t="array" ref="C23">IF(ROW()&lt;14,"",IFERROR(B23/INDEX($B:$B,ROW()-12)-1,""))</f>
        <v>1.3543978455951233E-2</v>
      </c>
      <c r="D23" s="22" cm="1">
        <f t="array" ref="D23">IF(ROW()&lt;3,"NA",IFERROR(B23/INDEX($B:$B,ROW()-1)-1,"NA"))</f>
        <v>1.6471179769923516E-3</v>
      </c>
      <c r="E23" s="22" cm="1">
        <f t="array" ref="E23">IF(ROW()&lt;5,"NA",IFERROR(B23/INDEX($B:$B,ROW()-3)-1,"NA"))</f>
        <v>2.7772232974319078E-3</v>
      </c>
      <c r="F23" s="23">
        <f t="shared" si="0"/>
        <v>-1.2210651227213425</v>
      </c>
    </row>
    <row r="24" spans="1:6">
      <c r="A24" s="20">
        <v>40817</v>
      </c>
      <c r="B24" s="11">
        <v>11575.1</v>
      </c>
      <c r="C24" s="22" cm="1">
        <f t="array" ref="C24">IF(ROW()&lt;14,"",IFERROR(B24/INDEX($B:$B,ROW()-12)-1,""))</f>
        <v>1.2792132226198571E-2</v>
      </c>
      <c r="D24" s="22" cm="1">
        <f t="array" ref="D24">IF(ROW()&lt;3,"NA",IFERROR(B24/INDEX($B:$B,ROW()-1)-1,"NA"))</f>
        <v>1.8001955981756801E-3</v>
      </c>
      <c r="E24" s="22" cm="1">
        <f t="array" ref="E24">IF(ROW()&lt;5,"NA",IFERROR(B24/INDEX($B:$B,ROW()-3)-1,"NA"))</f>
        <v>2.8417213207074798E-3</v>
      </c>
      <c r="F24" s="23">
        <f t="shared" si="0"/>
        <v>-1.2084200078143059</v>
      </c>
    </row>
    <row r="25" spans="1:6">
      <c r="A25" s="20">
        <v>40848</v>
      </c>
      <c r="B25" s="11">
        <v>11555.7</v>
      </c>
      <c r="C25" s="22" cm="1">
        <f t="array" ref="C25">IF(ROW()&lt;14,"",IFERROR(B25/INDEX($B:$B,ROW()-12)-1,""))</f>
        <v>8.5267935067203648E-3</v>
      </c>
      <c r="D25" s="22" cm="1">
        <f t="array" ref="D25">IF(ROW()&lt;3,"NA",IFERROR(B25/INDEX($B:$B,ROW()-1)-1,"NA"))</f>
        <v>-1.6760114383460589E-3</v>
      </c>
      <c r="E25" s="22" cm="1">
        <f t="array" ref="E25">IF(ROW()&lt;5,"NA",IFERROR(B25/INDEX($B:$B,ROW()-3)-1,"NA"))</f>
        <v>1.7684845647709668E-3</v>
      </c>
      <c r="F25" s="23">
        <f t="shared" si="0"/>
        <v>-1.2202140092179834</v>
      </c>
    </row>
    <row r="26" spans="1:6">
      <c r="A26" s="20">
        <v>40878</v>
      </c>
      <c r="B26" s="11">
        <v>11560.9</v>
      </c>
      <c r="C26" s="22" cm="1">
        <f t="array" ref="C26">IF(ROW()&lt;14,"",IFERROR(B26/INDEX($B:$B,ROW()-12)-1,""))</f>
        <v>7.6439005682806815E-3</v>
      </c>
      <c r="D26" s="22" cm="1">
        <f t="array" ref="D26">IF(ROW()&lt;3,"NA",IFERROR(B26/INDEX($B:$B,ROW()-1)-1,"NA"))</f>
        <v>4.4999437507020623E-4</v>
      </c>
      <c r="E26" s="22" cm="1">
        <f t="array" ref="E26">IF(ROW()&lt;5,"NA",IFERROR(B26/INDEX($B:$B,ROW()-3)-1,"NA"))</f>
        <v>5.7121591095965485E-4</v>
      </c>
      <c r="F26" s="23">
        <f t="shared" si="0"/>
        <v>-1.2170527304912251</v>
      </c>
    </row>
    <row r="27" spans="1:6">
      <c r="A27" s="20">
        <v>40909</v>
      </c>
      <c r="B27" s="11">
        <v>11605.5</v>
      </c>
      <c r="C27" s="22" cm="1">
        <f t="array" ref="C27">IF(ROW()&lt;14,"",IFERROR(B27/INDEX($B:$B,ROW()-12)-1,""))</f>
        <v>1.0403970050496314E-2</v>
      </c>
      <c r="D27" s="22" cm="1">
        <f t="array" ref="D27">IF(ROW()&lt;3,"NA",IFERROR(B27/INDEX($B:$B,ROW()-1)-1,"NA"))</f>
        <v>3.8578311377142072E-3</v>
      </c>
      <c r="E27" s="22" cm="1">
        <f t="array" ref="E27">IF(ROW()&lt;5,"NA",IFERROR(B27/INDEX($B:$B,ROW()-3)-1,"NA"))</f>
        <v>2.6263272023567819E-3</v>
      </c>
      <c r="F27" s="23">
        <f t="shared" si="0"/>
        <v>-1.1899386860270997</v>
      </c>
    </row>
    <row r="28" spans="1:6">
      <c r="A28" s="20">
        <v>40940</v>
      </c>
      <c r="B28" s="11">
        <v>11675.8</v>
      </c>
      <c r="C28" s="22" cm="1">
        <f t="array" ref="C28">IF(ROW()&lt;14,"",IFERROR(B28/INDEX($B:$B,ROW()-12)-1,""))</f>
        <v>1.6807747239349302E-2</v>
      </c>
      <c r="D28" s="22" cm="1">
        <f t="array" ref="D28">IF(ROW()&lt;3,"NA",IFERROR(B28/INDEX($B:$B,ROW()-1)-1,"NA"))</f>
        <v>6.0574727499891345E-3</v>
      </c>
      <c r="E28" s="22" cm="1">
        <f t="array" ref="E28">IF(ROW()&lt;5,"NA",IFERROR(B28/INDEX($B:$B,ROW()-3)-1,"NA"))</f>
        <v>1.0393139316527744E-2</v>
      </c>
      <c r="F28" s="23">
        <f t="shared" si="0"/>
        <v>-1.1472006293941857</v>
      </c>
    </row>
    <row r="29" spans="1:6">
      <c r="A29" s="20">
        <v>40969</v>
      </c>
      <c r="B29" s="11">
        <v>11660.5</v>
      </c>
      <c r="C29" s="22" cm="1">
        <f t="array" ref="C29">IF(ROW()&lt;14,"",IFERROR(B29/INDEX($B:$B,ROW()-12)-1,""))</f>
        <v>1.1967785048513369E-2</v>
      </c>
      <c r="D29" s="22" cm="1">
        <f t="array" ref="D29">IF(ROW()&lt;3,"NA",IFERROR(B29/INDEX($B:$B,ROW()-1)-1,"NA"))</f>
        <v>-1.3104027133044038E-3</v>
      </c>
      <c r="E29" s="22" cm="1">
        <f t="array" ref="E29">IF(ROW()&lt;5,"NA",IFERROR(B29/INDEX($B:$B,ROW()-3)-1,"NA"))</f>
        <v>8.6152462178550326E-3</v>
      </c>
      <c r="F29" s="23">
        <f t="shared" si="0"/>
        <v>-1.1565020841094569</v>
      </c>
    </row>
    <row r="30" spans="1:6">
      <c r="A30" s="20">
        <v>41000</v>
      </c>
      <c r="B30" s="11">
        <v>11671.4</v>
      </c>
      <c r="C30" s="22" cm="1">
        <f t="array" ref="C30">IF(ROW()&lt;14,"",IFERROR(B30/INDEX($B:$B,ROW()-12)-1,""))</f>
        <v>1.4119507511578089E-2</v>
      </c>
      <c r="D30" s="22" cm="1">
        <f t="array" ref="D30">IF(ROW()&lt;3,"NA",IFERROR(B30/INDEX($B:$B,ROW()-1)-1,"NA"))</f>
        <v>9.3477981218637041E-4</v>
      </c>
      <c r="E30" s="22" cm="1">
        <f t="array" ref="E30">IF(ROW()&lt;5,"NA",IFERROR(B30/INDEX($B:$B,ROW()-3)-1,"NA"))</f>
        <v>5.6783421653525679E-3</v>
      </c>
      <c r="F30" s="23">
        <f t="shared" si="0"/>
        <v>-1.1498755575475967</v>
      </c>
    </row>
    <row r="31" spans="1:6">
      <c r="A31" s="20">
        <v>41030</v>
      </c>
      <c r="B31" s="11">
        <v>11672</v>
      </c>
      <c r="C31" s="22" cm="1">
        <f t="array" ref="C31">IF(ROW()&lt;14,"",IFERROR(B31/INDEX($B:$B,ROW()-12)-1,""))</f>
        <v>1.534500156581653E-2</v>
      </c>
      <c r="D31" s="22" cm="1">
        <f t="array" ref="D31">IF(ROW()&lt;3,"NA",IFERROR(B31/INDEX($B:$B,ROW()-1)-1,"NA"))</f>
        <v>5.1407714584339459E-5</v>
      </c>
      <c r="E31" s="22" cm="1">
        <f t="array" ref="E31">IF(ROW()&lt;5,"NA",IFERROR(B31/INDEX($B:$B,ROW()-3)-1,"NA"))</f>
        <v>-3.2545949742190938E-4</v>
      </c>
      <c r="F31" s="23">
        <f t="shared" si="0"/>
        <v>-1.149510794617586</v>
      </c>
    </row>
    <row r="32" spans="1:6">
      <c r="A32" s="20">
        <v>41061</v>
      </c>
      <c r="B32" s="11">
        <v>11659.9</v>
      </c>
      <c r="C32" s="22" cm="1">
        <f t="array" ref="C32">IF(ROW()&lt;14,"",IFERROR(B32/INDEX($B:$B,ROW()-12)-1,""))</f>
        <v>1.194206017895727E-2</v>
      </c>
      <c r="D32" s="22" cm="1">
        <f t="array" ref="D32">IF(ROW()&lt;3,"NA",IFERROR(B32/INDEX($B:$B,ROW()-1)-1,"NA"))</f>
        <v>-1.0366689513365834E-3</v>
      </c>
      <c r="E32" s="22" cm="1">
        <f t="array" ref="E32">IF(ROW()&lt;5,"NA",IFERROR(B32/INDEX($B:$B,ROW()-3)-1,"NA"))</f>
        <v>-5.1455769478181423E-5</v>
      </c>
      <c r="F32" s="23">
        <f t="shared" si="0"/>
        <v>-1.1568668470394676</v>
      </c>
    </row>
    <row r="33" spans="1:6">
      <c r="A33" s="20">
        <v>41091</v>
      </c>
      <c r="B33" s="11">
        <v>11684.4</v>
      </c>
      <c r="C33" s="22" cm="1">
        <f t="array" ref="C33">IF(ROW()&lt;14,"",IFERROR(B33/INDEX($B:$B,ROW()-12)-1,""))</f>
        <v>1.2311237794893515E-2</v>
      </c>
      <c r="D33" s="22" cm="1">
        <f t="array" ref="D33">IF(ROW()&lt;3,"NA",IFERROR(B33/INDEX($B:$B,ROW()-1)-1,"NA"))</f>
        <v>2.1012187068498722E-3</v>
      </c>
      <c r="E33" s="22" cm="1">
        <f t="array" ref="E33">IF(ROW()&lt;5,"NA",IFERROR(B33/INDEX($B:$B,ROW()-3)-1,"NA"))</f>
        <v>1.1138338159946137E-3</v>
      </c>
      <c r="F33" s="23">
        <f t="shared" si="0"/>
        <v>-1.1419723607306993</v>
      </c>
    </row>
    <row r="34" spans="1:6">
      <c r="A34" s="20">
        <v>41122</v>
      </c>
      <c r="B34" s="11">
        <v>11686.7</v>
      </c>
      <c r="C34" s="22" cm="1">
        <f t="array" ref="C34">IF(ROW()&lt;14,"",IFERROR(B34/INDEX($B:$B,ROW()-12)-1,""))</f>
        <v>1.3124929564034105E-2</v>
      </c>
      <c r="D34" s="22" cm="1">
        <f t="array" ref="D34">IF(ROW()&lt;3,"NA",IFERROR(B34/INDEX($B:$B,ROW()-1)-1,"NA"))</f>
        <v>1.9684365478767063E-4</v>
      </c>
      <c r="E34" s="22" cm="1">
        <f t="array" ref="E34">IF(ROW()&lt;5,"NA",IFERROR(B34/INDEX($B:$B,ROW()-3)-1,"NA"))</f>
        <v>1.2594242631940311E-3</v>
      </c>
      <c r="F34" s="23">
        <f t="shared" si="0"/>
        <v>-1.1405741028323246</v>
      </c>
    </row>
    <row r="35" spans="1:6">
      <c r="A35" s="20">
        <v>41153</v>
      </c>
      <c r="B35" s="11">
        <v>11703.2</v>
      </c>
      <c r="C35" s="22" cm="1">
        <f t="array" ref="C35">IF(ROW()&lt;14,"",IFERROR(B35/INDEX($B:$B,ROW()-12)-1,""))</f>
        <v>1.2886977142708922E-2</v>
      </c>
      <c r="D35" s="22" cm="1">
        <f t="array" ref="D35">IF(ROW()&lt;3,"NA",IFERROR(B35/INDEX($B:$B,ROW()-1)-1,"NA"))</f>
        <v>1.411861346658938E-3</v>
      </c>
      <c r="E35" s="22" cm="1">
        <f t="array" ref="E35">IF(ROW()&lt;5,"NA",IFERROR(B35/INDEX($B:$B,ROW()-3)-1,"NA"))</f>
        <v>3.7135824492491309E-3</v>
      </c>
      <c r="F35" s="23">
        <f t="shared" si="0"/>
        <v>-1.1305431222570317</v>
      </c>
    </row>
    <row r="36" spans="1:6">
      <c r="A36" s="20">
        <v>41183</v>
      </c>
      <c r="B36" s="11">
        <v>11702.3</v>
      </c>
      <c r="C36" s="22" cm="1">
        <f t="array" ref="C36">IF(ROW()&lt;14,"",IFERROR(B36/INDEX($B:$B,ROW()-12)-1,""))</f>
        <v>1.0989105925650611E-2</v>
      </c>
      <c r="D36" s="22" cm="1">
        <f t="array" ref="D36">IF(ROW()&lt;3,"NA",IFERROR(B36/INDEX($B:$B,ROW()-1)-1,"NA"))</f>
        <v>-7.6902043885551663E-5</v>
      </c>
      <c r="E36" s="22" cm="1">
        <f t="array" ref="E36">IF(ROW()&lt;5,"NA",IFERROR(B36/INDEX($B:$B,ROW()-3)-1,"NA"))</f>
        <v>1.5319571394336595E-3</v>
      </c>
      <c r="F36" s="23">
        <f t="shared" si="0"/>
        <v>-1.1310902666520486</v>
      </c>
    </row>
    <row r="37" spans="1:6">
      <c r="A37" s="20">
        <v>41214</v>
      </c>
      <c r="B37" s="11">
        <v>11753.4</v>
      </c>
      <c r="C37" s="22" cm="1">
        <f t="array" ref="C37">IF(ROW()&lt;14,"",IFERROR(B37/INDEX($B:$B,ROW()-12)-1,""))</f>
        <v>1.7108439990653812E-2</v>
      </c>
      <c r="D37" s="22" cm="1">
        <f t="array" ref="D37">IF(ROW()&lt;3,"NA",IFERROR(B37/INDEX($B:$B,ROW()-1)-1,"NA"))</f>
        <v>4.366662963690926E-3</v>
      </c>
      <c r="E37" s="22" cm="1">
        <f t="array" ref="E37">IF(ROW()&lt;5,"NA",IFERROR(B37/INDEX($B:$B,ROW()-3)-1,"NA"))</f>
        <v>5.7073425346760853E-3</v>
      </c>
      <c r="F37" s="23">
        <f t="shared" si="0"/>
        <v>-1.1000246237794746</v>
      </c>
    </row>
    <row r="38" spans="1:6">
      <c r="A38" s="20">
        <v>41244</v>
      </c>
      <c r="B38" s="11">
        <v>11758.3</v>
      </c>
      <c r="C38" s="22" cm="1">
        <f t="array" ref="C38">IF(ROW()&lt;14,"",IFERROR(B38/INDEX($B:$B,ROW()-12)-1,""))</f>
        <v>1.7074795214905292E-2</v>
      </c>
      <c r="D38" s="22" cm="1">
        <f t="array" ref="D38">IF(ROW()&lt;3,"NA",IFERROR(B38/INDEX($B:$B,ROW()-1)-1,"NA"))</f>
        <v>4.169006415164489E-4</v>
      </c>
      <c r="E38" s="22" cm="1">
        <f t="array" ref="E38">IF(ROW()&lt;5,"NA",IFERROR(B38/INDEX($B:$B,ROW()-3)-1,"NA"))</f>
        <v>4.7081140200968541E-3</v>
      </c>
      <c r="F38" s="23">
        <f t="shared" si="0"/>
        <v>-1.0970457265177211</v>
      </c>
    </row>
    <row r="39" spans="1:6">
      <c r="A39" s="20">
        <v>41275</v>
      </c>
      <c r="B39" s="11">
        <v>11810.6</v>
      </c>
      <c r="C39" s="22" cm="1">
        <f t="array" ref="C39">IF(ROW()&lt;14,"",IFERROR(B39/INDEX($B:$B,ROW()-12)-1,""))</f>
        <v>1.7672655206583121E-2</v>
      </c>
      <c r="D39" s="22" cm="1">
        <f t="array" ref="D39">IF(ROW()&lt;3,"NA",IFERROR(B39/INDEX($B:$B,ROW()-1)-1,"NA"))</f>
        <v>4.4479218934709852E-3</v>
      </c>
      <c r="E39" s="22" cm="1">
        <f t="array" ref="E39">IF(ROW()&lt;5,"NA",IFERROR(B39/INDEX($B:$B,ROW()-3)-1,"NA"))</f>
        <v>9.2545909778420921E-3</v>
      </c>
      <c r="F39" s="23">
        <f t="shared" si="0"/>
        <v>-1.0652505577851255</v>
      </c>
    </row>
    <row r="40" spans="1:6">
      <c r="A40" s="20">
        <v>41306</v>
      </c>
      <c r="B40" s="11">
        <v>11808.6</v>
      </c>
      <c r="C40" s="22" cm="1">
        <f t="array" ref="C40">IF(ROW()&lt;14,"",IFERROR(B40/INDEX($B:$B,ROW()-12)-1,""))</f>
        <v>1.137395296253807E-2</v>
      </c>
      <c r="D40" s="22" cm="1">
        <f t="array" ref="D40">IF(ROW()&lt;3,"NA",IFERROR(B40/INDEX($B:$B,ROW()-1)-1,"NA"))</f>
        <v>-1.6933940697339001E-4</v>
      </c>
      <c r="E40" s="22" cm="1">
        <f t="array" ref="E40">IF(ROW()&lt;5,"NA",IFERROR(B40/INDEX($B:$B,ROW()-3)-1,"NA"))</f>
        <v>4.6965133493288569E-3</v>
      </c>
      <c r="F40" s="23">
        <f t="shared" si="0"/>
        <v>-1.0664664342184942</v>
      </c>
    </row>
    <row r="41" spans="1:6">
      <c r="A41" s="20">
        <v>41334</v>
      </c>
      <c r="B41" s="11">
        <v>11823.8</v>
      </c>
      <c r="C41" s="22" cm="1">
        <f t="array" ref="C41">IF(ROW()&lt;14,"",IFERROR(B41/INDEX($B:$B,ROW()-12)-1,""))</f>
        <v>1.4004545259637124E-2</v>
      </c>
      <c r="D41" s="22" cm="1">
        <f t="array" ref="D41">IF(ROW()&lt;3,"NA",IFERROR(B41/INDEX($B:$B,ROW()-1)-1,"NA"))</f>
        <v>1.2871974662533869E-3</v>
      </c>
      <c r="E41" s="22" cm="1">
        <f t="array" ref="E41">IF(ROW()&lt;5,"NA",IFERROR(B41/INDEX($B:$B,ROW()-3)-1,"NA"))</f>
        <v>5.5705331553030923E-3</v>
      </c>
      <c r="F41" s="23">
        <f t="shared" si="0"/>
        <v>-1.0572257733248918</v>
      </c>
    </row>
    <row r="42" spans="1:6">
      <c r="A42" s="20">
        <v>41365</v>
      </c>
      <c r="B42" s="11">
        <v>11826.4</v>
      </c>
      <c r="C42" s="22" cm="1">
        <f t="array" ref="C42">IF(ROW()&lt;14,"",IFERROR(B42/INDEX($B:$B,ROW()-12)-1,""))</f>
        <v>1.328032626762865E-2</v>
      </c>
      <c r="D42" s="22" cm="1">
        <f t="array" ref="D42">IF(ROW()&lt;3,"NA",IFERROR(B42/INDEX($B:$B,ROW()-1)-1,"NA"))</f>
        <v>2.1989546507894531E-4</v>
      </c>
      <c r="E42" s="22" cm="1">
        <f t="array" ref="E42">IF(ROW()&lt;5,"NA",IFERROR(B42/INDEX($B:$B,ROW()-3)-1,"NA"))</f>
        <v>1.337781315089881E-3</v>
      </c>
      <c r="F42" s="23">
        <f t="shared" si="0"/>
        <v>-1.055645133961512</v>
      </c>
    </row>
    <row r="43" spans="1:6">
      <c r="A43" s="20">
        <v>41395</v>
      </c>
      <c r="B43" s="11">
        <v>11860.1</v>
      </c>
      <c r="C43" s="22" cm="1">
        <f t="array" ref="C43">IF(ROW()&lt;14,"",IFERROR(B43/INDEX($B:$B,ROW()-12)-1,""))</f>
        <v>1.6115490061686222E-2</v>
      </c>
      <c r="D43" s="22" cm="1">
        <f t="array" ref="D43">IF(ROW()&lt;3,"NA",IFERROR(B43/INDEX($B:$B,ROW()-1)-1,"NA"))</f>
        <v>2.8495569234932017E-3</v>
      </c>
      <c r="E43" s="22" cm="1">
        <f t="array" ref="E43">IF(ROW()&lt;5,"NA",IFERROR(B43/INDEX($B:$B,ROW()-3)-1,"NA"))</f>
        <v>4.3612282573717298E-3</v>
      </c>
      <c r="F43" s="23">
        <f t="shared" si="0"/>
        <v>-1.0351576160592466</v>
      </c>
    </row>
    <row r="44" spans="1:6">
      <c r="A44" s="20">
        <v>41426</v>
      </c>
      <c r="B44" s="11">
        <v>11857.7</v>
      </c>
      <c r="C44" s="22" cm="1">
        <f t="array" ref="C44">IF(ROW()&lt;14,"",IFERROR(B44/INDEX($B:$B,ROW()-12)-1,""))</f>
        <v>1.6964124906731604E-2</v>
      </c>
      <c r="D44" s="22" cm="1">
        <f t="array" ref="D44">IF(ROW()&lt;3,"NA",IFERROR(B44/INDEX($B:$B,ROW()-1)-1,"NA"))</f>
        <v>-2.0235917066468989E-4</v>
      </c>
      <c r="E44" s="22" cm="1">
        <f t="array" ref="E44">IF(ROW()&lt;5,"NA",IFERROR(B44/INDEX($B:$B,ROW()-3)-1,"NA"))</f>
        <v>2.8670985639136504E-3</v>
      </c>
      <c r="F44" s="23">
        <f t="shared" si="0"/>
        <v>-1.036616667779289</v>
      </c>
    </row>
    <row r="45" spans="1:6">
      <c r="A45" s="20">
        <v>41456</v>
      </c>
      <c r="B45" s="11">
        <v>11872.3</v>
      </c>
      <c r="C45" s="22" cm="1">
        <f t="array" ref="C45">IF(ROW()&lt;14,"",IFERROR(B45/INDEX($B:$B,ROW()-12)-1,""))</f>
        <v>1.6081270754167987E-2</v>
      </c>
      <c r="D45" s="22" cm="1">
        <f t="array" ref="D45">IF(ROW()&lt;3,"NA",IFERROR(B45/INDEX($B:$B,ROW()-1)-1,"NA"))</f>
        <v>1.2312674464691753E-3</v>
      </c>
      <c r="E45" s="22" cm="1">
        <f t="array" ref="E45">IF(ROW()&lt;5,"NA",IFERROR(B45/INDEX($B:$B,ROW()-3)-1,"NA"))</f>
        <v>3.8811472637487743E-3</v>
      </c>
      <c r="F45" s="23">
        <f t="shared" si="0"/>
        <v>-1.0277407698156973</v>
      </c>
    </row>
    <row r="46" spans="1:6">
      <c r="A46" s="20">
        <v>41487</v>
      </c>
      <c r="B46" s="11">
        <v>11890.3</v>
      </c>
      <c r="C46" s="22" cm="1">
        <f t="array" ref="C46">IF(ROW()&lt;14,"",IFERROR(B46/INDEX($B:$B,ROW()-12)-1,""))</f>
        <v>1.7421513344228812E-2</v>
      </c>
      <c r="D46" s="22" cm="1">
        <f t="array" ref="D46">IF(ROW()&lt;3,"NA",IFERROR(B46/INDEX($B:$B,ROW()-1)-1,"NA"))</f>
        <v>1.5161341947220741E-3</v>
      </c>
      <c r="E46" s="22" cm="1">
        <f t="array" ref="E46">IF(ROW()&lt;5,"NA",IFERROR(B46/INDEX($B:$B,ROW()-3)-1,"NA"))</f>
        <v>2.5463528975302463E-3</v>
      </c>
      <c r="F46" s="23">
        <f t="shared" si="0"/>
        <v>-1.0167978819153778</v>
      </c>
    </row>
    <row r="47" spans="1:6">
      <c r="A47" s="20">
        <v>41518</v>
      </c>
      <c r="B47" s="11">
        <v>11926.1</v>
      </c>
      <c r="C47" s="22" cm="1">
        <f t="array" ref="C47">IF(ROW()&lt;14,"",IFERROR(B47/INDEX($B:$B,ROW()-12)-1,""))</f>
        <v>1.9046072868958985E-2</v>
      </c>
      <c r="D47" s="22" cm="1">
        <f t="array" ref="D47">IF(ROW()&lt;3,"NA",IFERROR(B47/INDEX($B:$B,ROW()-1)-1,"NA"))</f>
        <v>3.0108575898002421E-3</v>
      </c>
      <c r="E47" s="22" cm="1">
        <f t="array" ref="E47">IF(ROW()&lt;5,"NA",IFERROR(B47/INDEX($B:$B,ROW()-3)-1,"NA"))</f>
        <v>5.7684036533223182E-3</v>
      </c>
      <c r="F47" s="23">
        <f t="shared" si="0"/>
        <v>-0.99503369375807504</v>
      </c>
    </row>
    <row r="48" spans="1:6">
      <c r="A48" s="20">
        <v>41548</v>
      </c>
      <c r="B48" s="11">
        <v>11964.6</v>
      </c>
      <c r="C48" s="22" cm="1">
        <f t="array" ref="C48">IF(ROW()&lt;14,"",IFERROR(B48/INDEX($B:$B,ROW()-12)-1,""))</f>
        <v>2.2414397169787215E-2</v>
      </c>
      <c r="D48" s="22" cm="1">
        <f t="array" ref="D48">IF(ROW()&lt;3,"NA",IFERROR(B48/INDEX($B:$B,ROW()-1)-1,"NA"))</f>
        <v>3.2282137496750796E-3</v>
      </c>
      <c r="E48" s="22" cm="1">
        <f t="array" ref="E48">IF(ROW()&lt;5,"NA",IFERROR(B48/INDEX($B:$B,ROW()-3)-1,"NA"))</f>
        <v>7.7743992318253241E-3</v>
      </c>
      <c r="F48" s="23">
        <f t="shared" si="0"/>
        <v>-0.97162807241572491</v>
      </c>
    </row>
    <row r="49" spans="1:6">
      <c r="A49" s="20">
        <v>41579</v>
      </c>
      <c r="B49" s="11">
        <v>12013.7</v>
      </c>
      <c r="C49" s="22" cm="1">
        <f t="array" ref="C49">IF(ROW()&lt;14,"",IFERROR(B49/INDEX($B:$B,ROW()-12)-1,""))</f>
        <v>2.2146783058519359E-2</v>
      </c>
      <c r="D49" s="22" cm="1">
        <f t="array" ref="D49">IF(ROW()&lt;3,"NA",IFERROR(B49/INDEX($B:$B,ROW()-1)-1,"NA"))</f>
        <v>4.1037727964161608E-3</v>
      </c>
      <c r="E49" s="22" cm="1">
        <f t="array" ref="E49">IF(ROW()&lt;5,"NA",IFERROR(B49/INDEX($B:$B,ROW()-3)-1,"NA"))</f>
        <v>1.0378207446406051E-2</v>
      </c>
      <c r="F49" s="23">
        <f t="shared" si="0"/>
        <v>-0.94177830597651979</v>
      </c>
    </row>
    <row r="50" spans="1:6">
      <c r="A50" s="20">
        <v>41609</v>
      </c>
      <c r="B50" s="11">
        <v>12024.7</v>
      </c>
      <c r="C50" s="22" cm="1">
        <f t="array" ref="C50">IF(ROW()&lt;14,"",IFERROR(B50/INDEX($B:$B,ROW()-12)-1,""))</f>
        <v>2.2656336375156405E-2</v>
      </c>
      <c r="D50" s="22" cm="1">
        <f t="array" ref="D50">IF(ROW()&lt;3,"NA",IFERROR(B50/INDEX($B:$B,ROW()-1)-1,"NA"))</f>
        <v>9.1562133231226639E-4</v>
      </c>
      <c r="E50" s="22" cm="1">
        <f t="array" ref="E50">IF(ROW()&lt;5,"NA",IFERROR(B50/INDEX($B:$B,ROW()-3)-1,"NA"))</f>
        <v>8.2675811874795002E-3</v>
      </c>
      <c r="F50" s="23">
        <f t="shared" si="0"/>
        <v>-0.9350909855929912</v>
      </c>
    </row>
    <row r="51" spans="1:6">
      <c r="A51" s="20">
        <v>41640</v>
      </c>
      <c r="B51" s="11">
        <v>11985</v>
      </c>
      <c r="C51" s="22" cm="1">
        <f t="array" ref="C51">IF(ROW()&lt;14,"",IFERROR(B51/INDEX($B:$B,ROW()-12)-1,""))</f>
        <v>1.4766396288080186E-2</v>
      </c>
      <c r="D51" s="22" cm="1">
        <f t="array" ref="D51">IF(ROW()&lt;3,"NA",IFERROR(B51/INDEX($B:$B,ROW()-1)-1,"NA"))</f>
        <v>-3.3015376682994368E-3</v>
      </c>
      <c r="E51" s="22" cm="1">
        <f t="array" ref="E51">IF(ROW()&lt;5,"NA",IFERROR(B51/INDEX($B:$B,ROW()-3)-1,"NA"))</f>
        <v>1.7050298380221207E-3</v>
      </c>
      <c r="F51" s="23">
        <f t="shared" si="0"/>
        <v>-0.95922613279536295</v>
      </c>
    </row>
    <row r="52" spans="1:6">
      <c r="A52" s="20">
        <v>41671</v>
      </c>
      <c r="B52" s="11">
        <v>12039.4</v>
      </c>
      <c r="C52" s="22" cm="1">
        <f t="array" ref="C52">IF(ROW()&lt;14,"",IFERROR(B52/INDEX($B:$B,ROW()-12)-1,""))</f>
        <v>1.9545077316531989E-2</v>
      </c>
      <c r="D52" s="22" cm="1">
        <f t="array" ref="D52">IF(ROW()&lt;3,"NA",IFERROR(B52/INDEX($B:$B,ROW()-1)-1,"NA"))</f>
        <v>4.5390070921984549E-3</v>
      </c>
      <c r="E52" s="22" cm="1">
        <f t="array" ref="E52">IF(ROW()&lt;5,"NA",IFERROR(B52/INDEX($B:$B,ROW()-3)-1,"NA"))</f>
        <v>2.1392243854931881E-3</v>
      </c>
      <c r="F52" s="23">
        <f t="shared" si="0"/>
        <v>-0.92615429380773084</v>
      </c>
    </row>
    <row r="53" spans="1:6">
      <c r="A53" s="20">
        <v>41699</v>
      </c>
      <c r="B53" s="11">
        <v>12108.3</v>
      </c>
      <c r="C53" s="22" cm="1">
        <f t="array" ref="C53">IF(ROW()&lt;14,"",IFERROR(B53/INDEX($B:$B,ROW()-12)-1,""))</f>
        <v>2.4061638390365125E-2</v>
      </c>
      <c r="D53" s="22" cm="1">
        <f t="array" ref="D53">IF(ROW()&lt;3,"NA",IFERROR(B53/INDEX($B:$B,ROW()-1)-1,"NA"))</f>
        <v>5.7228765553101191E-3</v>
      </c>
      <c r="E53" s="22" cm="1">
        <f t="array" ref="E53">IF(ROW()&lt;5,"NA",IFERROR(B53/INDEX($B:$B,ROW()-3)-1,"NA"))</f>
        <v>6.9523563997437865E-3</v>
      </c>
      <c r="F53" s="23">
        <f t="shared" si="0"/>
        <v>-0.88426735067817464</v>
      </c>
    </row>
    <row r="54" spans="1:6">
      <c r="A54" s="20">
        <v>41730</v>
      </c>
      <c r="B54" s="11">
        <v>12128.1</v>
      </c>
      <c r="C54" s="22" cm="1">
        <f t="array" ref="C54">IF(ROW()&lt;14,"",IFERROR(B54/INDEX($B:$B,ROW()-12)-1,""))</f>
        <v>2.5510721775011902E-2</v>
      </c>
      <c r="D54" s="22" cm="1">
        <f t="array" ref="D54">IF(ROW()&lt;3,"NA",IFERROR(B54/INDEX($B:$B,ROW()-1)-1,"NA"))</f>
        <v>1.6352419414782382E-3</v>
      </c>
      <c r="E54" s="22" cm="1">
        <f t="array" ref="E54">IF(ROW()&lt;5,"NA",IFERROR(B54/INDEX($B:$B,ROW()-3)-1,"NA"))</f>
        <v>1.1939924906132715E-2</v>
      </c>
      <c r="F54" s="23">
        <f t="shared" si="0"/>
        <v>-0.87223017398782254</v>
      </c>
    </row>
    <row r="55" spans="1:6">
      <c r="A55" s="20">
        <v>41760</v>
      </c>
      <c r="B55" s="11">
        <v>12154.5</v>
      </c>
      <c r="C55" s="22" cm="1">
        <f t="array" ref="C55">IF(ROW()&lt;14,"",IFERROR(B55/INDEX($B:$B,ROW()-12)-1,""))</f>
        <v>2.4822724934865592E-2</v>
      </c>
      <c r="D55" s="22" cm="1">
        <f t="array" ref="D55">IF(ROW()&lt;3,"NA",IFERROR(B55/INDEX($B:$B,ROW()-1)-1,"NA"))</f>
        <v>2.1767630543942929E-3</v>
      </c>
      <c r="E55" s="22" cm="1">
        <f t="array" ref="E55">IF(ROW()&lt;5,"NA",IFERROR(B55/INDEX($B:$B,ROW()-3)-1,"NA"))</f>
        <v>9.5602770902205592E-3</v>
      </c>
      <c r="F55" s="23">
        <f t="shared" si="0"/>
        <v>-0.85618060506735405</v>
      </c>
    </row>
    <row r="56" spans="1:6">
      <c r="A56" s="20">
        <v>41791</v>
      </c>
      <c r="B56" s="11">
        <v>12197.1</v>
      </c>
      <c r="C56" s="22" cm="1">
        <f t="array" ref="C56">IF(ROW()&lt;14,"",IFERROR(B56/INDEX($B:$B,ROW()-12)-1,""))</f>
        <v>2.8622751461075957E-2</v>
      </c>
      <c r="D56" s="22" cm="1">
        <f t="array" ref="D56">IF(ROW()&lt;3,"NA",IFERROR(B56/INDEX($B:$B,ROW()-1)-1,"NA"))</f>
        <v>3.5048747377515177E-3</v>
      </c>
      <c r="E56" s="22" cm="1">
        <f t="array" ref="E56">IF(ROW()&lt;5,"NA",IFERROR(B56/INDEX($B:$B,ROW()-3)-1,"NA"))</f>
        <v>7.3338123435990887E-3</v>
      </c>
      <c r="F56" s="23">
        <f t="shared" si="0"/>
        <v>-0.83028243703659765</v>
      </c>
    </row>
    <row r="57" spans="1:6">
      <c r="A57" s="20">
        <v>41821</v>
      </c>
      <c r="B57" s="11">
        <v>12223.6</v>
      </c>
      <c r="C57" s="22" cm="1">
        <f t="array" ref="C57">IF(ROW()&lt;14,"",IFERROR(B57/INDEX($B:$B,ROW()-12)-1,""))</f>
        <v>2.9589885700327834E-2</v>
      </c>
      <c r="D57" s="22" cm="1">
        <f t="array" ref="D57">IF(ROW()&lt;3,"NA",IFERROR(B57/INDEX($B:$B,ROW()-1)-1,"NA"))</f>
        <v>2.1726475965597736E-3</v>
      </c>
      <c r="E57" s="22" cm="1">
        <f t="array" ref="E57">IF(ROW()&lt;5,"NA",IFERROR(B57/INDEX($B:$B,ROW()-3)-1,"NA"))</f>
        <v>7.8742754429794726E-3</v>
      </c>
      <c r="F57" s="23">
        <f t="shared" si="0"/>
        <v>-0.81417207429446059</v>
      </c>
    </row>
    <row r="58" spans="1:6">
      <c r="A58" s="20">
        <v>41852</v>
      </c>
      <c r="B58" s="11">
        <v>12306.5</v>
      </c>
      <c r="C58" s="22" cm="1">
        <f t="array" ref="C58">IF(ROW()&lt;14,"",IFERROR(B58/INDEX($B:$B,ROW()-12)-1,""))</f>
        <v>3.5003322035608964E-2</v>
      </c>
      <c r="D58" s="22" cm="1">
        <f t="array" ref="D58">IF(ROW()&lt;3,"NA",IFERROR(B58/INDEX($B:$B,ROW()-1)-1,"NA"))</f>
        <v>6.7819627605614219E-3</v>
      </c>
      <c r="E58" s="22" cm="1">
        <f t="array" ref="E58">IF(ROW()&lt;5,"NA",IFERROR(B58/INDEX($B:$B,ROW()-3)-1,"NA"))</f>
        <v>1.2505656341272875E-2</v>
      </c>
      <c r="F58" s="23">
        <f t="shared" si="0"/>
        <v>-0.76377399613132246</v>
      </c>
    </row>
    <row r="59" spans="1:6">
      <c r="A59" s="20">
        <v>41883</v>
      </c>
      <c r="B59" s="11">
        <v>12310.2</v>
      </c>
      <c r="C59" s="22" cm="1">
        <f t="array" ref="C59">IF(ROW()&lt;14,"",IFERROR(B59/INDEX($B:$B,ROW()-12)-1,""))</f>
        <v>3.2206672759745425E-2</v>
      </c>
      <c r="D59" s="22" cm="1">
        <f t="array" ref="D59">IF(ROW()&lt;3,"NA",IFERROR(B59/INDEX($B:$B,ROW()-1)-1,"NA"))</f>
        <v>3.0065412586854912E-4</v>
      </c>
      <c r="E59" s="22" cm="1">
        <f t="array" ref="E59">IF(ROW()&lt;5,"NA",IFERROR(B59/INDEX($B:$B,ROW()-3)-1,"NA"))</f>
        <v>9.2726959687139399E-3</v>
      </c>
      <c r="F59" s="23">
        <f t="shared" si="0"/>
        <v>-0.76152462472958971</v>
      </c>
    </row>
    <row r="60" spans="1:6">
      <c r="A60" s="20">
        <v>41913</v>
      </c>
      <c r="B60" s="11">
        <v>12389.1</v>
      </c>
      <c r="C60" s="22" cm="1">
        <f t="array" ref="C60">IF(ROW()&lt;14,"",IFERROR(B60/INDEX($B:$B,ROW()-12)-1,""))</f>
        <v>3.5479665011784789E-2</v>
      </c>
      <c r="D60" s="22" cm="1">
        <f t="array" ref="D60">IF(ROW()&lt;3,"NA",IFERROR(B60/INDEX($B:$B,ROW()-1)-1,"NA"))</f>
        <v>6.4093191012331019E-3</v>
      </c>
      <c r="E60" s="22" cm="1">
        <f t="array" ref="E60">IF(ROW()&lt;5,"NA",IFERROR(B60/INDEX($B:$B,ROW()-3)-1,"NA"))</f>
        <v>1.3539382833207991E-2</v>
      </c>
      <c r="F60" s="23">
        <f t="shared" si="0"/>
        <v>-0.71355829943318927</v>
      </c>
    </row>
    <row r="61" spans="1:6">
      <c r="A61" s="20">
        <v>41944</v>
      </c>
      <c r="B61" s="11">
        <v>12420.6</v>
      </c>
      <c r="C61" s="22" cm="1">
        <f t="array" ref="C61">IF(ROW()&lt;14,"",IFERROR(B61/INDEX($B:$B,ROW()-12)-1,""))</f>
        <v>3.3869665465260379E-2</v>
      </c>
      <c r="D61" s="22" cm="1">
        <f t="array" ref="D61">IF(ROW()&lt;3,"NA",IFERROR(B61/INDEX($B:$B,ROW()-1)-1,"NA"))</f>
        <v>2.5425575707678227E-3</v>
      </c>
      <c r="E61" s="22" cm="1">
        <f t="array" ref="E61">IF(ROW()&lt;5,"NA",IFERROR(B61/INDEX($B:$B,ROW()-3)-1,"NA"))</f>
        <v>9.2715231788080832E-3</v>
      </c>
      <c r="F61" s="23">
        <f t="shared" si="0"/>
        <v>-0.69440824560763015</v>
      </c>
    </row>
    <row r="62" spans="1:6">
      <c r="A62" s="20">
        <v>41974</v>
      </c>
      <c r="B62" s="11">
        <v>12455.1</v>
      </c>
      <c r="C62" s="22" cm="1">
        <f t="array" ref="C62">IF(ROW()&lt;14,"",IFERROR(B62/INDEX($B:$B,ROW()-12)-1,""))</f>
        <v>3.5792992756576103E-2</v>
      </c>
      <c r="D62" s="22" cm="1">
        <f t="array" ref="D62">IF(ROW()&lt;3,"NA",IFERROR(B62/INDEX($B:$B,ROW()-1)-1,"NA"))</f>
        <v>2.7776435920969789E-3</v>
      </c>
      <c r="E62" s="22" cm="1">
        <f t="array" ref="E62">IF(ROW()&lt;5,"NA",IFERROR(B62/INDEX($B:$B,ROW()-3)-1,"NA"))</f>
        <v>1.1770726714431801E-2</v>
      </c>
      <c r="F62" s="23">
        <f t="shared" si="0"/>
        <v>-0.6734343771320177</v>
      </c>
    </row>
    <row r="63" spans="1:6">
      <c r="A63" s="20">
        <v>42005</v>
      </c>
      <c r="B63" s="11">
        <v>12484.7</v>
      </c>
      <c r="C63" s="22" cm="1">
        <f t="array" ref="C63">IF(ROW()&lt;14,"",IFERROR(B63/INDEX($B:$B,ROW()-12)-1,""))</f>
        <v>4.169378389653744E-2</v>
      </c>
      <c r="D63" s="22" cm="1">
        <f t="array" ref="D63">IF(ROW()&lt;3,"NA",IFERROR(B63/INDEX($B:$B,ROW()-1)-1,"NA"))</f>
        <v>2.3765365191770194E-3</v>
      </c>
      <c r="E63" s="22" cm="1">
        <f t="array" ref="E63">IF(ROW()&lt;5,"NA",IFERROR(B63/INDEX($B:$B,ROW()-3)-1,"NA"))</f>
        <v>7.7164604369970302E-3</v>
      </c>
      <c r="F63" s="23">
        <f t="shared" si="0"/>
        <v>-0.65543940591815864</v>
      </c>
    </row>
    <row r="64" spans="1:6">
      <c r="A64" s="20">
        <v>42036</v>
      </c>
      <c r="B64" s="11">
        <v>12514.1</v>
      </c>
      <c r="C64" s="22" cm="1">
        <f t="array" ref="C64">IF(ROW()&lt;14,"",IFERROR(B64/INDEX($B:$B,ROW()-12)-1,""))</f>
        <v>3.9428875193115998E-2</v>
      </c>
      <c r="D64" s="22" cm="1">
        <f t="array" ref="D64">IF(ROW()&lt;3,"NA",IFERROR(B64/INDEX($B:$B,ROW()-1)-1,"NA"))</f>
        <v>2.3548823760282112E-3</v>
      </c>
      <c r="E64" s="22" cm="1">
        <f t="array" ref="E64">IF(ROW()&lt;5,"NA",IFERROR(B64/INDEX($B:$B,ROW()-3)-1,"NA"))</f>
        <v>7.5278166916252776E-3</v>
      </c>
      <c r="F64" s="23">
        <f t="shared" si="0"/>
        <v>-0.63756602234763704</v>
      </c>
    </row>
    <row r="65" spans="1:6">
      <c r="A65" s="20">
        <v>42064</v>
      </c>
      <c r="B65" s="11">
        <v>12551.8</v>
      </c>
      <c r="C65" s="22" cm="1">
        <f t="array" ref="C65">IF(ROW()&lt;14,"",IFERROR(B65/INDEX($B:$B,ROW()-12)-1,""))</f>
        <v>3.6627767729573879E-2</v>
      </c>
      <c r="D65" s="22" cm="1">
        <f t="array" ref="D65">IF(ROW()&lt;3,"NA",IFERROR(B65/INDEX($B:$B,ROW()-1)-1,"NA"))</f>
        <v>3.012601785186142E-3</v>
      </c>
      <c r="E65" s="22" cm="1">
        <f t="array" ref="E65">IF(ROW()&lt;5,"NA",IFERROR(B65/INDEX($B:$B,ROW()-3)-1,"NA"))</f>
        <v>7.7638878852839266E-3</v>
      </c>
      <c r="F65" s="23">
        <f t="shared" si="0"/>
        <v>-0.61464675157863513</v>
      </c>
    </row>
    <row r="66" spans="1:6">
      <c r="A66" s="20">
        <v>42095</v>
      </c>
      <c r="B66" s="11">
        <v>12574.8</v>
      </c>
      <c r="C66" s="22" cm="1">
        <f t="array" ref="C66">IF(ROW()&lt;14,"",IFERROR(B66/INDEX($B:$B,ROW()-12)-1,""))</f>
        <v>3.6831820318104169E-2</v>
      </c>
      <c r="D66" s="22" cm="1">
        <f t="array" ref="D66">IF(ROW()&lt;3,"NA",IFERROR(B66/INDEX($B:$B,ROW()-1)-1,"NA"))</f>
        <v>1.8324065074331042E-3</v>
      </c>
      <c r="E66" s="22" cm="1">
        <f t="array" ref="E66">IF(ROW()&lt;5,"NA",IFERROR(B66/INDEX($B:$B,ROW()-3)-1,"NA"))</f>
        <v>7.2168334040865201E-3</v>
      </c>
      <c r="F66" s="23">
        <f t="shared" si="0"/>
        <v>-0.60066417259489346</v>
      </c>
    </row>
    <row r="67" spans="1:6">
      <c r="A67" s="20">
        <v>42125</v>
      </c>
      <c r="B67" s="11">
        <v>12612.7</v>
      </c>
      <c r="C67" s="22" cm="1">
        <f t="array" ref="C67">IF(ROW()&lt;14,"",IFERROR(B67/INDEX($B:$B,ROW()-12)-1,""))</f>
        <v>3.7697971944547382E-2</v>
      </c>
      <c r="D67" s="22" cm="1">
        <f t="array" ref="D67">IF(ROW()&lt;3,"NA",IFERROR(B67/INDEX($B:$B,ROW()-1)-1,"NA"))</f>
        <v>3.0139644368103458E-3</v>
      </c>
      <c r="E67" s="22" cm="1">
        <f t="array" ref="E67">IF(ROW()&lt;5,"NA",IFERROR(B67/INDEX($B:$B,ROW()-3)-1,"NA"))</f>
        <v>7.8791123612564906E-3</v>
      </c>
      <c r="F67" s="23">
        <f t="shared" si="0"/>
        <v>-0.57762331418255308</v>
      </c>
    </row>
    <row r="68" spans="1:6">
      <c r="A68" s="20">
        <v>42156</v>
      </c>
      <c r="B68" s="11">
        <v>12621.6</v>
      </c>
      <c r="C68" s="22" cm="1">
        <f t="array" ref="C68">IF(ROW()&lt;14,"",IFERROR(B68/INDEX($B:$B,ROW()-12)-1,""))</f>
        <v>3.480335489583597E-2</v>
      </c>
      <c r="D68" s="22" cm="1">
        <f t="array" ref="D68">IF(ROW()&lt;3,"NA",IFERROR(B68/INDEX($B:$B,ROW()-1)-1,"NA"))</f>
        <v>7.0563796807965318E-4</v>
      </c>
      <c r="E68" s="22" cm="1">
        <f t="array" ref="E68">IF(ROW()&lt;5,"NA",IFERROR(B68/INDEX($B:$B,ROW()-3)-1,"NA"))</f>
        <v>5.5609554008191342E-3</v>
      </c>
      <c r="F68" s="23">
        <f t="shared" ref="F68:F131" si="1">IFERROR((B68-AVERAGE($B:$B))/_xlfn.STDEV.S($B:$B),"")</f>
        <v>-0.57221266405406201</v>
      </c>
    </row>
    <row r="69" spans="1:6">
      <c r="A69" s="20">
        <v>42186</v>
      </c>
      <c r="B69" s="11">
        <v>12668.4</v>
      </c>
      <c r="C69" s="22" cm="1">
        <f t="array" ref="C69">IF(ROW()&lt;14,"",IFERROR(B69/INDEX($B:$B,ROW()-12)-1,""))</f>
        <v>3.6388625282240961E-2</v>
      </c>
      <c r="D69" s="22" cm="1">
        <f t="array" ref="D69">IF(ROW()&lt;3,"NA",IFERROR(B69/INDEX($B:$B,ROW()-1)-1,"NA"))</f>
        <v>3.7079292641186701E-3</v>
      </c>
      <c r="E69" s="22" cm="1">
        <f t="array" ref="E69">IF(ROW()&lt;5,"NA",IFERROR(B69/INDEX($B:$B,ROW()-3)-1,"NA"))</f>
        <v>7.4434583452620551E-3</v>
      </c>
      <c r="F69" s="23">
        <f t="shared" si="1"/>
        <v>-0.54376115551323168</v>
      </c>
    </row>
    <row r="70" spans="1:6">
      <c r="A70" s="20">
        <v>42217</v>
      </c>
      <c r="B70" s="11">
        <v>12699.7</v>
      </c>
      <c r="C70" s="22" cm="1">
        <f t="array" ref="C70">IF(ROW()&lt;14,"",IFERROR(B70/INDEX($B:$B,ROW()-12)-1,""))</f>
        <v>3.1950595213911415E-2</v>
      </c>
      <c r="D70" s="22" cm="1">
        <f t="array" ref="D70">IF(ROW()&lt;3,"NA",IFERROR(B70/INDEX($B:$B,ROW()-1)-1,"NA"))</f>
        <v>2.4707145338007663E-3</v>
      </c>
      <c r="E70" s="22" cm="1">
        <f t="array" ref="E70">IF(ROW()&lt;5,"NA",IFERROR(B70/INDEX($B:$B,ROW()-3)-1,"NA"))</f>
        <v>6.8978093508924587E-3</v>
      </c>
      <c r="F70" s="23">
        <f t="shared" si="1"/>
        <v>-0.52473268933100869</v>
      </c>
    </row>
    <row r="71" spans="1:6">
      <c r="A71" s="20">
        <v>42248</v>
      </c>
      <c r="B71" s="11">
        <v>12707.2</v>
      </c>
      <c r="C71" s="22" cm="1">
        <f t="array" ref="C71">IF(ROW()&lt;14,"",IFERROR(B71/INDEX($B:$B,ROW()-12)-1,""))</f>
        <v>3.2249679127877684E-2</v>
      </c>
      <c r="D71" s="22" cm="1">
        <f t="array" ref="D71">IF(ROW()&lt;3,"NA",IFERROR(B71/INDEX($B:$B,ROW()-1)-1,"NA"))</f>
        <v>5.9056513145971934E-4</v>
      </c>
      <c r="E71" s="22" cm="1">
        <f t="array" ref="E71">IF(ROW()&lt;5,"NA",IFERROR(B71/INDEX($B:$B,ROW()-3)-1,"NA"))</f>
        <v>6.7820244659948514E-3</v>
      </c>
      <c r="F71" s="23">
        <f t="shared" si="1"/>
        <v>-0.52017315270587561</v>
      </c>
    </row>
    <row r="72" spans="1:6">
      <c r="A72" s="20">
        <v>42278</v>
      </c>
      <c r="B72" s="11">
        <v>12715.9</v>
      </c>
      <c r="C72" s="22" cm="1">
        <f t="array" ref="C72">IF(ROW()&lt;14,"",IFERROR(B72/INDEX($B:$B,ROW()-12)-1,""))</f>
        <v>2.6378025845299469E-2</v>
      </c>
      <c r="D72" s="22" cm="1">
        <f t="array" ref="D72">IF(ROW()&lt;3,"NA",IFERROR(B72/INDEX($B:$B,ROW()-1)-1,"NA"))</f>
        <v>6.8465122135474843E-4</v>
      </c>
      <c r="E72" s="22" cm="1">
        <f t="array" ref="E72">IF(ROW()&lt;5,"NA",IFERROR(B72/INDEX($B:$B,ROW()-3)-1,"NA"))</f>
        <v>3.7494869123173569E-3</v>
      </c>
      <c r="F72" s="23">
        <f t="shared" si="1"/>
        <v>-0.51488409022072179</v>
      </c>
    </row>
    <row r="73" spans="1:6">
      <c r="A73" s="20">
        <v>42309</v>
      </c>
      <c r="B73" s="11">
        <v>12737</v>
      </c>
      <c r="C73" s="22" cm="1">
        <f t="array" ref="C73">IF(ROW()&lt;14,"",IFERROR(B73/INDEX($B:$B,ROW()-12)-1,""))</f>
        <v>2.5473809638825839E-2</v>
      </c>
      <c r="D73" s="22" cm="1">
        <f t="array" ref="D73">IF(ROW()&lt;3,"NA",IFERROR(B73/INDEX($B:$B,ROW()-1)-1,"NA"))</f>
        <v>1.6593398815656357E-3</v>
      </c>
      <c r="E73" s="22" cm="1">
        <f t="array" ref="E73">IF(ROW()&lt;5,"NA",IFERROR(B73/INDEX($B:$B,ROW()-3)-1,"NA"))</f>
        <v>2.9370772537933298E-3</v>
      </c>
      <c r="F73" s="23">
        <f t="shared" si="1"/>
        <v>-0.5020565938486804</v>
      </c>
    </row>
    <row r="74" spans="1:6">
      <c r="A74" s="20">
        <v>42339</v>
      </c>
      <c r="B74" s="11">
        <v>12777.3</v>
      </c>
      <c r="C74" s="22" cm="1">
        <f t="array" ref="C74">IF(ROW()&lt;14,"",IFERROR(B74/INDEX($B:$B,ROW()-12)-1,""))</f>
        <v>2.5868921164823977E-2</v>
      </c>
      <c r="D74" s="22" cm="1">
        <f t="array" ref="D74">IF(ROW()&lt;3,"NA",IFERROR(B74/INDEX($B:$B,ROW()-1)-1,"NA"))</f>
        <v>3.1640103635077743E-3</v>
      </c>
      <c r="E74" s="22" cm="1">
        <f t="array" ref="E74">IF(ROW()&lt;5,"NA",IFERROR(B74/INDEX($B:$B,ROW()-3)-1,"NA"))</f>
        <v>5.5165575421807223E-3</v>
      </c>
      <c r="F74" s="23">
        <f t="shared" si="1"/>
        <v>-0.47755668371629872</v>
      </c>
    </row>
    <row r="75" spans="1:6">
      <c r="A75" s="20">
        <v>42370</v>
      </c>
      <c r="B75" s="11">
        <v>12798.7</v>
      </c>
      <c r="C75" s="22" cm="1">
        <f t="array" ref="C75">IF(ROW()&lt;14,"",IFERROR(B75/INDEX($B:$B,ROW()-12)-1,""))</f>
        <v>2.5150784560301842E-2</v>
      </c>
      <c r="D75" s="22" cm="1">
        <f t="array" ref="D75">IF(ROW()&lt;3,"NA",IFERROR(B75/INDEX($B:$B,ROW()-1)-1,"NA"))</f>
        <v>1.6748452333437136E-3</v>
      </c>
      <c r="E75" s="22" cm="1">
        <f t="array" ref="E75">IF(ROW()&lt;5,"NA",IFERROR(B75/INDEX($B:$B,ROW()-3)-1,"NA"))</f>
        <v>6.5115328053855226E-3</v>
      </c>
      <c r="F75" s="23">
        <f t="shared" si="1"/>
        <v>-0.46454680587925129</v>
      </c>
    </row>
    <row r="76" spans="1:6">
      <c r="A76" s="20">
        <v>42401</v>
      </c>
      <c r="B76" s="11">
        <v>12884</v>
      </c>
      <c r="C76" s="22" cm="1">
        <f t="array" ref="C76">IF(ROW()&lt;14,"",IFERROR(B76/INDEX($B:$B,ROW()-12)-1,""))</f>
        <v>2.9558657833963276E-2</v>
      </c>
      <c r="D76" s="22" cm="1">
        <f t="array" ref="D76">IF(ROW()&lt;3,"NA",IFERROR(B76/INDEX($B:$B,ROW()-1)-1,"NA"))</f>
        <v>6.6647393875940431E-3</v>
      </c>
      <c r="E76" s="22" cm="1">
        <f t="array" ref="E76">IF(ROW()&lt;5,"NA",IFERROR(B76/INDEX($B:$B,ROW()-3)-1,"NA"))</f>
        <v>1.1541179241579602E-2</v>
      </c>
      <c r="F76" s="23">
        <f t="shared" si="1"/>
        <v>-0.41268967599607087</v>
      </c>
    </row>
    <row r="77" spans="1:6">
      <c r="A77" s="20">
        <v>42430</v>
      </c>
      <c r="B77" s="11">
        <v>12836.1</v>
      </c>
      <c r="C77" s="22" cm="1">
        <f t="array" ref="C77">IF(ROW()&lt;14,"",IFERROR(B77/INDEX($B:$B,ROW()-12)-1,""))</f>
        <v>2.2650137828837291E-2</v>
      </c>
      <c r="D77" s="22" cm="1">
        <f t="array" ref="D77">IF(ROW()&lt;3,"NA",IFERROR(B77/INDEX($B:$B,ROW()-1)-1,"NA"))</f>
        <v>-3.7177895063644772E-3</v>
      </c>
      <c r="E77" s="22" cm="1">
        <f t="array" ref="E77">IF(ROW()&lt;5,"NA",IFERROR(B77/INDEX($B:$B,ROW()-3)-1,"NA"))</f>
        <v>4.6019112018971242E-3</v>
      </c>
      <c r="F77" s="23">
        <f t="shared" si="1"/>
        <v>-0.44180991657525426</v>
      </c>
    </row>
    <row r="78" spans="1:6">
      <c r="A78" s="20">
        <v>42461</v>
      </c>
      <c r="B78" s="11">
        <v>12870.2</v>
      </c>
      <c r="C78" s="22" cm="1">
        <f t="array" ref="C78">IF(ROW()&lt;14,"",IFERROR(B78/INDEX($B:$B,ROW()-12)-1,""))</f>
        <v>2.3491427299042744E-2</v>
      </c>
      <c r="D78" s="22" cm="1">
        <f t="array" ref="D78">IF(ROW()&lt;3,"NA",IFERROR(B78/INDEX($B:$B,ROW()-1)-1,"NA"))</f>
        <v>2.6565701420213639E-3</v>
      </c>
      <c r="E78" s="22" cm="1">
        <f t="array" ref="E78">IF(ROW()&lt;5,"NA",IFERROR(B78/INDEX($B:$B,ROW()-3)-1,"NA"))</f>
        <v>5.5865048794017103E-3</v>
      </c>
      <c r="F78" s="23">
        <f t="shared" si="1"/>
        <v>-0.42107922338631537</v>
      </c>
    </row>
    <row r="79" spans="1:6">
      <c r="A79" s="20">
        <v>42491</v>
      </c>
      <c r="B79" s="11">
        <v>12891.2</v>
      </c>
      <c r="C79" s="22" cm="1">
        <f t="array" ref="C79">IF(ROW()&lt;14,"",IFERROR(B79/INDEX($B:$B,ROW()-12)-1,""))</f>
        <v>2.2080918439350894E-2</v>
      </c>
      <c r="D79" s="22" cm="1">
        <f t="array" ref="D79">IF(ROW()&lt;3,"NA",IFERROR(B79/INDEX($B:$B,ROW()-1)-1,"NA"))</f>
        <v>1.6316762754269298E-3</v>
      </c>
      <c r="E79" s="22" cm="1">
        <f t="array" ref="E79">IF(ROW()&lt;5,"NA",IFERROR(B79/INDEX($B:$B,ROW()-3)-1,"NA"))</f>
        <v>5.5883266066447668E-4</v>
      </c>
      <c r="F79" s="23">
        <f t="shared" si="1"/>
        <v>-0.40831252083594261</v>
      </c>
    </row>
    <row r="80" spans="1:6">
      <c r="A80" s="20">
        <v>42522</v>
      </c>
      <c r="B80" s="11">
        <v>12948.6</v>
      </c>
      <c r="C80" s="22" cm="1">
        <f t="array" ref="C80">IF(ROW()&lt;14,"",IFERROR(B80/INDEX($B:$B,ROW()-12)-1,""))</f>
        <v>2.5907967294162448E-2</v>
      </c>
      <c r="D80" s="22" cm="1">
        <f t="array" ref="D80">IF(ROW()&lt;3,"NA",IFERROR(B80/INDEX($B:$B,ROW()-1)-1,"NA"))</f>
        <v>4.4526498696784156E-3</v>
      </c>
      <c r="E80" s="22" cm="1">
        <f t="array" ref="E80">IF(ROW()&lt;5,"NA",IFERROR(B80/INDEX($B:$B,ROW()-3)-1,"NA"))</f>
        <v>8.7643443101876883E-3</v>
      </c>
      <c r="F80" s="23">
        <f t="shared" si="1"/>
        <v>-0.37341686719825717</v>
      </c>
    </row>
    <row r="81" spans="1:6">
      <c r="A81" s="20">
        <v>42552</v>
      </c>
      <c r="B81" s="11">
        <v>12972.2</v>
      </c>
      <c r="C81" s="22" cm="1">
        <f t="array" ref="C81">IF(ROW()&lt;14,"",IFERROR(B81/INDEX($B:$B,ROW()-12)-1,""))</f>
        <v>2.398092892551551E-2</v>
      </c>
      <c r="D81" s="22" cm="1">
        <f t="array" ref="D81">IF(ROW()&lt;3,"NA",IFERROR(B81/INDEX($B:$B,ROW()-1)-1,"NA"))</f>
        <v>1.8225908592435225E-3</v>
      </c>
      <c r="E81" s="22" cm="1">
        <f t="array" ref="E81">IF(ROW()&lt;5,"NA",IFERROR(B81/INDEX($B:$B,ROW()-3)-1,"NA"))</f>
        <v>7.9252847663595638E-3</v>
      </c>
      <c r="F81" s="23">
        <f t="shared" si="1"/>
        <v>-0.3590695252845047</v>
      </c>
    </row>
    <row r="82" spans="1:6">
      <c r="A82" s="20">
        <v>42583</v>
      </c>
      <c r="B82" s="11">
        <v>12986.1</v>
      </c>
      <c r="C82" s="22" cm="1">
        <f t="array" ref="C82">IF(ROW()&lt;14,"",IFERROR(B82/INDEX($B:$B,ROW()-12)-1,""))</f>
        <v>2.2551713820011532E-2</v>
      </c>
      <c r="D82" s="22" cm="1">
        <f t="array" ref="D82">IF(ROW()&lt;3,"NA",IFERROR(B82/INDEX($B:$B,ROW()-1)-1,"NA"))</f>
        <v>1.0715221781965045E-3</v>
      </c>
      <c r="E82" s="22" cm="1">
        <f t="array" ref="E82">IF(ROW()&lt;5,"NA",IFERROR(B82/INDEX($B:$B,ROW()-3)-1,"NA"))</f>
        <v>7.3616110214720365E-3</v>
      </c>
      <c r="F82" s="23">
        <f t="shared" si="1"/>
        <v>-0.35061918407259152</v>
      </c>
    </row>
    <row r="83" spans="1:6">
      <c r="A83" s="20">
        <v>42614</v>
      </c>
      <c r="B83" s="11">
        <v>13020.9</v>
      </c>
      <c r="C83" s="22" cm="1">
        <f t="array" ref="C83">IF(ROW()&lt;14,"",IFERROR(B83/INDEX($B:$B,ROW()-12)-1,""))</f>
        <v>2.4686791740115677E-2</v>
      </c>
      <c r="D83" s="22" cm="1">
        <f t="array" ref="D83">IF(ROW()&lt;3,"NA",IFERROR(B83/INDEX($B:$B,ROW()-1)-1,"NA"))</f>
        <v>2.6797883891236385E-3</v>
      </c>
      <c r="E83" s="22" cm="1">
        <f t="array" ref="E83">IF(ROW()&lt;5,"NA",IFERROR(B83/INDEX($B:$B,ROW()-3)-1,"NA"))</f>
        <v>5.5836152170889441E-3</v>
      </c>
      <c r="F83" s="23">
        <f t="shared" si="1"/>
        <v>-0.32946293413197419</v>
      </c>
    </row>
    <row r="84" spans="1:6">
      <c r="A84" s="20">
        <v>42644</v>
      </c>
      <c r="B84" s="11">
        <v>13014.9</v>
      </c>
      <c r="C84" s="22" cm="1">
        <f t="array" ref="C84">IF(ROW()&lt;14,"",IFERROR(B84/INDEX($B:$B,ROW()-12)-1,""))</f>
        <v>2.3513868463891585E-2</v>
      </c>
      <c r="D84" s="22" cm="1">
        <f t="array" ref="D84">IF(ROW()&lt;3,"NA",IFERROR(B84/INDEX($B:$B,ROW()-1)-1,"NA"))</f>
        <v>-4.6079764071604856E-4</v>
      </c>
      <c r="E84" s="22" cm="1">
        <f t="array" ref="E84">IF(ROW()&lt;5,"NA",IFERROR(B84/INDEX($B:$B,ROW()-3)-1,"NA"))</f>
        <v>3.2916544610781528E-3</v>
      </c>
      <c r="F84" s="23">
        <f t="shared" si="1"/>
        <v>-0.33311056343208068</v>
      </c>
    </row>
    <row r="85" spans="1:6">
      <c r="A85" s="20">
        <v>42675</v>
      </c>
      <c r="B85" s="11">
        <v>13036.8</v>
      </c>
      <c r="C85" s="22" cm="1">
        <f t="array" ref="C85">IF(ROW()&lt;14,"",IFERROR(B85/INDEX($B:$B,ROW()-12)-1,""))</f>
        <v>2.3537724738949439E-2</v>
      </c>
      <c r="D85" s="22" cm="1">
        <f t="array" ref="D85">IF(ROW()&lt;3,"NA",IFERROR(B85/INDEX($B:$B,ROW()-1)-1,"NA"))</f>
        <v>1.6826867667059098E-3</v>
      </c>
      <c r="E85" s="22" cm="1">
        <f t="array" ref="E85">IF(ROW()&lt;5,"NA",IFERROR(B85/INDEX($B:$B,ROW()-3)-1,"NA"))</f>
        <v>3.9041744634646935E-3</v>
      </c>
      <c r="F85" s="23">
        <f t="shared" si="1"/>
        <v>-0.31979671648669217</v>
      </c>
    </row>
    <row r="86" spans="1:6">
      <c r="A86" s="20">
        <v>42705</v>
      </c>
      <c r="B86" s="11">
        <v>13128.5</v>
      </c>
      <c r="C86" s="22" cm="1">
        <f t="array" ref="C86">IF(ROW()&lt;14,"",IFERROR(B86/INDEX($B:$B,ROW()-12)-1,""))</f>
        <v>2.7486245137861687E-2</v>
      </c>
      <c r="D86" s="22" cm="1">
        <f t="array" ref="D86">IF(ROW()&lt;3,"NA",IFERROR(B86/INDEX($B:$B,ROW()-1)-1,"NA"))</f>
        <v>7.0339347079038106E-3</v>
      </c>
      <c r="E86" s="22" cm="1">
        <f t="array" ref="E86">IF(ROW()&lt;5,"NA",IFERROR(B86/INDEX($B:$B,ROW()-3)-1,"NA"))</f>
        <v>8.2636376901750186E-3</v>
      </c>
      <c r="F86" s="23">
        <f t="shared" si="1"/>
        <v>-0.26404878201673054</v>
      </c>
    </row>
    <row r="87" spans="1:6">
      <c r="A87" s="20">
        <v>42736</v>
      </c>
      <c r="B87" s="11">
        <v>13136.3</v>
      </c>
      <c r="C87" s="22" cm="1">
        <f t="array" ref="C87">IF(ROW()&lt;14,"",IFERROR(B87/INDEX($B:$B,ROW()-12)-1,""))</f>
        <v>2.637767898302168E-2</v>
      </c>
      <c r="D87" s="22" cm="1">
        <f t="array" ref="D87">IF(ROW()&lt;3,"NA",IFERROR(B87/INDEX($B:$B,ROW()-1)-1,"NA"))</f>
        <v>5.9412728034424767E-4</v>
      </c>
      <c r="E87" s="22" cm="1">
        <f t="array" ref="E87">IF(ROW()&lt;5,"NA",IFERROR(B87/INDEX($B:$B,ROW()-3)-1,"NA"))</f>
        <v>9.3277704784515691E-3</v>
      </c>
      <c r="F87" s="23">
        <f t="shared" si="1"/>
        <v>-0.25930686392659252</v>
      </c>
    </row>
    <row r="88" spans="1:6">
      <c r="A88" s="20">
        <v>42767</v>
      </c>
      <c r="B88" s="11">
        <v>13143.4</v>
      </c>
      <c r="C88" s="22" cm="1">
        <f t="array" ref="C88">IF(ROW()&lt;14,"",IFERROR(B88/INDEX($B:$B,ROW()-12)-1,""))</f>
        <v>2.0133498913381009E-2</v>
      </c>
      <c r="D88" s="22" cm="1">
        <f t="array" ref="D88">IF(ROW()&lt;3,"NA",IFERROR(B88/INDEX($B:$B,ROW()-1)-1,"NA"))</f>
        <v>5.4048704734221964E-4</v>
      </c>
      <c r="E88" s="22" cm="1">
        <f t="array" ref="E88">IF(ROW()&lt;5,"NA",IFERROR(B88/INDEX($B:$B,ROW()-3)-1,"NA"))</f>
        <v>8.1768532155130913E-3</v>
      </c>
      <c r="F88" s="23">
        <f t="shared" si="1"/>
        <v>-0.25499050258813294</v>
      </c>
    </row>
    <row r="89" spans="1:6">
      <c r="A89" s="20">
        <v>42795</v>
      </c>
      <c r="B89" s="11">
        <v>13201.7</v>
      </c>
      <c r="C89" s="22" cm="1">
        <f t="array" ref="C89">IF(ROW()&lt;14,"",IFERROR(B89/INDEX($B:$B,ROW()-12)-1,""))</f>
        <v>2.8482171376041032E-2</v>
      </c>
      <c r="D89" s="22" cm="1">
        <f t="array" ref="D89">IF(ROW()&lt;3,"NA",IFERROR(B89/INDEX($B:$B,ROW()-1)-1,"NA"))</f>
        <v>4.4356863520855772E-3</v>
      </c>
      <c r="E89" s="22" cm="1">
        <f t="array" ref="E89">IF(ROW()&lt;5,"NA",IFERROR(B89/INDEX($B:$B,ROW()-3)-1,"NA"))</f>
        <v>5.5756560155386659E-3</v>
      </c>
      <c r="F89" s="23">
        <f t="shared" si="1"/>
        <v>-0.21954770455543068</v>
      </c>
    </row>
    <row r="90" spans="1:6">
      <c r="A90" s="20">
        <v>42826</v>
      </c>
      <c r="B90" s="11">
        <v>13206.1</v>
      </c>
      <c r="C90" s="22" cm="1">
        <f t="array" ref="C90">IF(ROW()&lt;14,"",IFERROR(B90/INDEX($B:$B,ROW()-12)-1,""))</f>
        <v>2.6099050519805322E-2</v>
      </c>
      <c r="D90" s="22" cm="1">
        <f t="array" ref="D90">IF(ROW()&lt;3,"NA",IFERROR(B90/INDEX($B:$B,ROW()-1)-1,"NA"))</f>
        <v>3.3329040956853184E-4</v>
      </c>
      <c r="E90" s="22" cm="1">
        <f t="array" ref="E90">IF(ROW()&lt;5,"NA",IFERROR(B90/INDEX($B:$B,ROW()-3)-1,"NA"))</f>
        <v>5.3135205499266203E-3</v>
      </c>
      <c r="F90" s="23">
        <f t="shared" si="1"/>
        <v>-0.21687277640201946</v>
      </c>
    </row>
    <row r="91" spans="1:6">
      <c r="A91" s="20">
        <v>42856</v>
      </c>
      <c r="B91" s="11">
        <v>13214.5</v>
      </c>
      <c r="C91" s="22" cm="1">
        <f t="array" ref="C91">IF(ROW()&lt;14,"",IFERROR(B91/INDEX($B:$B,ROW()-12)-1,""))</f>
        <v>2.5079123743328768E-2</v>
      </c>
      <c r="D91" s="22" cm="1">
        <f t="array" ref="D91">IF(ROW()&lt;3,"NA",IFERROR(B91/INDEX($B:$B,ROW()-1)-1,"NA"))</f>
        <v>6.3606969506513344E-4</v>
      </c>
      <c r="E91" s="22" cm="1">
        <f t="array" ref="E91">IF(ROW()&lt;5,"NA",IFERROR(B91/INDEX($B:$B,ROW()-3)-1,"NA"))</f>
        <v>5.4095591703822166E-3</v>
      </c>
      <c r="F91" s="23">
        <f t="shared" si="1"/>
        <v>-0.21176609538187058</v>
      </c>
    </row>
    <row r="92" spans="1:6">
      <c r="A92" s="20">
        <v>42887</v>
      </c>
      <c r="B92" s="11">
        <v>13256.7</v>
      </c>
      <c r="C92" s="22" cm="1">
        <f t="array" ref="C92">IF(ROW()&lt;14,"",IFERROR(B92/INDEX($B:$B,ROW()-12)-1,""))</f>
        <v>2.379407812427603E-2</v>
      </c>
      <c r="D92" s="22" cm="1">
        <f t="array" ref="D92">IF(ROW()&lt;3,"NA",IFERROR(B92/INDEX($B:$B,ROW()-1)-1,"NA"))</f>
        <v>3.1934617276476729E-3</v>
      </c>
      <c r="E92" s="22" cm="1">
        <f t="array" ref="E92">IF(ROW()&lt;5,"NA",IFERROR(B92/INDEX($B:$B,ROW()-3)-1,"NA"))</f>
        <v>4.1661301196058709E-3</v>
      </c>
      <c r="F92" s="23">
        <f t="shared" si="1"/>
        <v>-0.18611110263778766</v>
      </c>
    </row>
    <row r="93" spans="1:6">
      <c r="A93" s="20">
        <v>42917</v>
      </c>
      <c r="B93" s="11">
        <v>13290.1</v>
      </c>
      <c r="C93" s="22" cm="1">
        <f t="array" ref="C93">IF(ROW()&lt;14,"",IFERROR(B93/INDEX($B:$B,ROW()-12)-1,""))</f>
        <v>2.4506251830838321E-2</v>
      </c>
      <c r="D93" s="22" cm="1">
        <f t="array" ref="D93">IF(ROW()&lt;3,"NA",IFERROR(B93/INDEX($B:$B,ROW()-1)-1,"NA"))</f>
        <v>2.5194807154118593E-3</v>
      </c>
      <c r="E93" s="22" cm="1">
        <f t="array" ref="E93">IF(ROW()&lt;5,"NA",IFERROR(B93/INDEX($B:$B,ROW()-3)-1,"NA"))</f>
        <v>6.3606969506515565E-3</v>
      </c>
      <c r="F93" s="23">
        <f t="shared" si="1"/>
        <v>-0.16580596620052832</v>
      </c>
    </row>
    <row r="94" spans="1:6">
      <c r="A94" s="20">
        <v>42948</v>
      </c>
      <c r="B94" s="11">
        <v>13291.7</v>
      </c>
      <c r="C94" s="22" cm="1">
        <f t="array" ref="C94">IF(ROW()&lt;14,"",IFERROR(B94/INDEX($B:$B,ROW()-12)-1,""))</f>
        <v>2.353285435966157E-2</v>
      </c>
      <c r="D94" s="22" cm="1">
        <f t="array" ref="D94">IF(ROW()&lt;3,"NA",IFERROR(B94/INDEX($B:$B,ROW()-1)-1,"NA"))</f>
        <v>1.203903657609473E-4</v>
      </c>
      <c r="E94" s="22" cm="1">
        <f t="array" ref="E94">IF(ROW()&lt;5,"NA",IFERROR(B94/INDEX($B:$B,ROW()-3)-1,"NA"))</f>
        <v>5.842067425933628E-3</v>
      </c>
      <c r="F94" s="23">
        <f t="shared" si="1"/>
        <v>-0.16483326505383303</v>
      </c>
    </row>
    <row r="95" spans="1:6">
      <c r="A95" s="20">
        <v>42979</v>
      </c>
      <c r="B95" s="11">
        <v>13364.4</v>
      </c>
      <c r="C95" s="22" cm="1">
        <f t="array" ref="C95">IF(ROW()&lt;14,"",IFERROR(B95/INDEX($B:$B,ROW()-12)-1,""))</f>
        <v>2.6380664930995446E-2</v>
      </c>
      <c r="D95" s="22" cm="1">
        <f t="array" ref="D95">IF(ROW()&lt;3,"NA",IFERROR(B95/INDEX($B:$B,ROW()-1)-1,"NA"))</f>
        <v>5.4695787596770185E-3</v>
      </c>
      <c r="E95" s="22" cm="1">
        <f t="array" ref="E95">IF(ROW()&lt;5,"NA",IFERROR(B95/INDEX($B:$B,ROW()-3)-1,"NA"))</f>
        <v>8.124193803887847E-3</v>
      </c>
      <c r="F95" s="23">
        <f t="shared" si="1"/>
        <v>-0.12063615670087648</v>
      </c>
    </row>
    <row r="96" spans="1:6">
      <c r="A96" s="20">
        <v>43009</v>
      </c>
      <c r="B96" s="11">
        <v>13377</v>
      </c>
      <c r="C96" s="22" cm="1">
        <f t="array" ref="C96">IF(ROW()&lt;14,"",IFERROR(B96/INDEX($B:$B,ROW()-12)-1,""))</f>
        <v>2.7821957909780259E-2</v>
      </c>
      <c r="D96" s="22" cm="1">
        <f t="array" ref="D96">IF(ROW()&lt;3,"NA",IFERROR(B96/INDEX($B:$B,ROW()-1)-1,"NA"))</f>
        <v>9.4280326838469541E-4</v>
      </c>
      <c r="E96" s="22" cm="1">
        <f t="array" ref="E96">IF(ROW()&lt;5,"NA",IFERROR(B96/INDEX($B:$B,ROW()-3)-1,"NA"))</f>
        <v>6.5387017403932823E-3</v>
      </c>
      <c r="F96" s="23">
        <f t="shared" si="1"/>
        <v>-0.11297613517065258</v>
      </c>
    </row>
    <row r="97" spans="1:6">
      <c r="A97" s="20">
        <v>43040</v>
      </c>
      <c r="B97" s="11">
        <v>13450.3</v>
      </c>
      <c r="C97" s="22" cm="1">
        <f t="array" ref="C97">IF(ROW()&lt;14,"",IFERROR(B97/INDEX($B:$B,ROW()-12)-1,""))</f>
        <v>3.1717906234658866E-2</v>
      </c>
      <c r="D97" s="22" cm="1">
        <f t="array" ref="D97">IF(ROW()&lt;3,"NA",IFERROR(B97/INDEX($B:$B,ROW()-1)-1,"NA"))</f>
        <v>5.4795544591461631E-3</v>
      </c>
      <c r="E97" s="22" cm="1">
        <f t="array" ref="E97">IF(ROW()&lt;5,"NA",IFERROR(B97/INDEX($B:$B,ROW()-3)-1,"NA"))</f>
        <v>1.193225847709467E-2</v>
      </c>
      <c r="F97" s="23">
        <f t="shared" si="1"/>
        <v>-6.8414263887685151E-2</v>
      </c>
    </row>
    <row r="98" spans="1:6">
      <c r="A98" s="20">
        <v>43070</v>
      </c>
      <c r="B98" s="11">
        <v>13555.4</v>
      </c>
      <c r="C98" s="22" cm="1">
        <f t="array" ref="C98">IF(ROW()&lt;14,"",IFERROR(B98/INDEX($B:$B,ROW()-12)-1,""))</f>
        <v>3.2517043074227869E-2</v>
      </c>
      <c r="D98" s="22" cm="1">
        <f t="array" ref="D98">IF(ROW()&lt;3,"NA",IFERROR(B98/INDEX($B:$B,ROW()-1)-1,"NA"))</f>
        <v>7.8139521051574512E-3</v>
      </c>
      <c r="E98" s="22" cm="1">
        <f t="array" ref="E98">IF(ROW()&lt;5,"NA",IFERROR(B98/INDEX($B:$B,ROW()-3)-1,"NA"))</f>
        <v>1.4291700338211921E-2</v>
      </c>
      <c r="F98" s="23">
        <f t="shared" si="1"/>
        <v>-4.5199573141525536E-3</v>
      </c>
    </row>
    <row r="99" spans="1:6">
      <c r="A99" s="20">
        <v>43101</v>
      </c>
      <c r="B99" s="11">
        <v>13541.3</v>
      </c>
      <c r="C99" s="22" cm="1">
        <f t="array" ref="C99">IF(ROW()&lt;14,"",IFERROR(B99/INDEX($B:$B,ROW()-12)-1,""))</f>
        <v>3.0830599179373142E-2</v>
      </c>
      <c r="D99" s="22" cm="1">
        <f t="array" ref="D99">IF(ROW()&lt;3,"NA",IFERROR(B99/INDEX($B:$B,ROW()-1)-1,"NA"))</f>
        <v>-1.0401758708706854E-3</v>
      </c>
      <c r="E99" s="22" cm="1">
        <f t="array" ref="E99">IF(ROW()&lt;5,"NA",IFERROR(B99/INDEX($B:$B,ROW()-3)-1,"NA"))</f>
        <v>1.2282275547581545E-2</v>
      </c>
      <c r="F99" s="23">
        <f t="shared" si="1"/>
        <v>-1.3091886169403075E-2</v>
      </c>
    </row>
    <row r="100" spans="1:6">
      <c r="A100" s="20">
        <v>43132</v>
      </c>
      <c r="B100" s="11">
        <v>13547.3</v>
      </c>
      <c r="C100" s="22" cm="1">
        <f t="array" ref="C100">IF(ROW()&lt;14,"",IFERROR(B100/INDEX($B:$B,ROW()-12)-1,""))</f>
        <v>3.0730252446094619E-2</v>
      </c>
      <c r="D100" s="22" cm="1">
        <f t="array" ref="D100">IF(ROW()&lt;3,"NA",IFERROR(B100/INDEX($B:$B,ROW()-1)-1,"NA"))</f>
        <v>4.430889205615518E-4</v>
      </c>
      <c r="E100" s="22" cm="1">
        <f t="array" ref="E100">IF(ROW()&lt;5,"NA",IFERROR(B100/INDEX($B:$B,ROW()-3)-1,"NA"))</f>
        <v>7.2117350542366676E-3</v>
      </c>
      <c r="F100" s="23">
        <f t="shared" si="1"/>
        <v>-9.4442568692965651E-3</v>
      </c>
    </row>
    <row r="101" spans="1:6">
      <c r="A101" s="20">
        <v>43160</v>
      </c>
      <c r="B101" s="11">
        <v>13586.5</v>
      </c>
      <c r="C101" s="22" cm="1">
        <f t="array" ref="C101">IF(ROW()&lt;14,"",IFERROR(B101/INDEX($B:$B,ROW()-12)-1,""))</f>
        <v>2.9147761273169204E-2</v>
      </c>
      <c r="D101" s="22" cm="1">
        <f t="array" ref="D101">IF(ROW()&lt;3,"NA",IFERROR(B101/INDEX($B:$B,ROW()-1)-1,"NA"))</f>
        <v>2.893565507518181E-3</v>
      </c>
      <c r="E101" s="22" cm="1">
        <f t="array" ref="E101">IF(ROW()&lt;5,"NA",IFERROR(B101/INDEX($B:$B,ROW()-3)-1,"NA"))</f>
        <v>2.2942886229841974E-3</v>
      </c>
      <c r="F101" s="23">
        <f t="shared" si="1"/>
        <v>1.438692122473308E-2</v>
      </c>
    </row>
    <row r="102" spans="1:6">
      <c r="A102" s="20">
        <v>43191</v>
      </c>
      <c r="B102" s="11">
        <v>13598.7</v>
      </c>
      <c r="C102" s="22" cm="1">
        <f t="array" ref="C102">IF(ROW()&lt;14,"",IFERROR(B102/INDEX($B:$B,ROW()-12)-1,""))</f>
        <v>2.9728685986021741E-2</v>
      </c>
      <c r="D102" s="22" cm="1">
        <f t="array" ref="D102">IF(ROW()&lt;3,"NA",IFERROR(B102/INDEX($B:$B,ROW()-1)-1,"NA"))</f>
        <v>8.9795017112570541E-4</v>
      </c>
      <c r="E102" s="22" cm="1">
        <f t="array" ref="E102">IF(ROW()&lt;5,"NA",IFERROR(B102/INDEX($B:$B,ROW()-3)-1,"NA"))</f>
        <v>4.2388840067055789E-3</v>
      </c>
      <c r="F102" s="23">
        <f t="shared" si="1"/>
        <v>2.1803767468283428E-2</v>
      </c>
    </row>
    <row r="103" spans="1:6">
      <c r="A103" s="20">
        <v>43221</v>
      </c>
      <c r="B103" s="11">
        <v>13640.5</v>
      </c>
      <c r="C103" s="22" cm="1">
        <f t="array" ref="C103">IF(ROW()&lt;14,"",IFERROR(B103/INDEX($B:$B,ROW()-12)-1,""))</f>
        <v>3.2237315070566375E-2</v>
      </c>
      <c r="D103" s="22" cm="1">
        <f t="array" ref="D103">IF(ROW()&lt;3,"NA",IFERROR(B103/INDEX($B:$B,ROW()-1)-1,"NA"))</f>
        <v>3.0738232331031234E-3</v>
      </c>
      <c r="E103" s="22" cm="1">
        <f t="array" ref="E103">IF(ROW()&lt;5,"NA",IFERROR(B103/INDEX($B:$B,ROW()-3)-1,"NA"))</f>
        <v>6.8795996250174962E-3</v>
      </c>
      <c r="F103" s="23">
        <f t="shared" si="1"/>
        <v>4.7215584925691674E-2</v>
      </c>
    </row>
    <row r="104" spans="1:6">
      <c r="A104" s="20">
        <v>43252</v>
      </c>
      <c r="B104" s="11">
        <v>13653.7</v>
      </c>
      <c r="C104" s="22" cm="1">
        <f t="array" ref="C104">IF(ROW()&lt;14,"",IFERROR(B104/INDEX($B:$B,ROW()-12)-1,""))</f>
        <v>2.9947121078398142E-2</v>
      </c>
      <c r="D104" s="22" cm="1">
        <f t="array" ref="D104">IF(ROW()&lt;3,"NA",IFERROR(B104/INDEX($B:$B,ROW()-1)-1,"NA"))</f>
        <v>9.677064623732079E-4</v>
      </c>
      <c r="E104" s="22" cm="1">
        <f t="array" ref="E104">IF(ROW()&lt;5,"NA",IFERROR(B104/INDEX($B:$B,ROW()-3)-1,"NA"))</f>
        <v>4.9460861884960128E-3</v>
      </c>
      <c r="F104" s="23">
        <f t="shared" si="1"/>
        <v>5.5240369385926441E-2</v>
      </c>
    </row>
    <row r="105" spans="1:6">
      <c r="A105" s="20">
        <v>43282</v>
      </c>
      <c r="B105" s="11">
        <v>13682.7</v>
      </c>
      <c r="C105" s="22" cm="1">
        <f t="array" ref="C105">IF(ROW()&lt;14,"",IFERROR(B105/INDEX($B:$B,ROW()-12)-1,""))</f>
        <v>2.9540785998600549E-2</v>
      </c>
      <c r="D105" s="22" cm="1">
        <f t="array" ref="D105">IF(ROW()&lt;3,"NA",IFERROR(B105/INDEX($B:$B,ROW()-1)-1,"NA"))</f>
        <v>2.1239663973868783E-3</v>
      </c>
      <c r="E105" s="22" cm="1">
        <f t="array" ref="E105">IF(ROW()&lt;5,"NA",IFERROR(B105/INDEX($B:$B,ROW()-3)-1,"NA"))</f>
        <v>6.1770610425997408E-3</v>
      </c>
      <c r="F105" s="23">
        <f t="shared" si="1"/>
        <v>7.2870577669774575E-2</v>
      </c>
    </row>
    <row r="106" spans="1:6">
      <c r="A106" s="20">
        <v>43313</v>
      </c>
      <c r="B106" s="11">
        <v>13711.5</v>
      </c>
      <c r="C106" s="22" cm="1">
        <f t="array" ref="C106">IF(ROW()&lt;14,"",IFERROR(B106/INDEX($B:$B,ROW()-12)-1,""))</f>
        <v>3.1583619852990852E-2</v>
      </c>
      <c r="D106" s="22" cm="1">
        <f t="array" ref="D106">IF(ROW()&lt;3,"NA",IFERROR(B106/INDEX($B:$B,ROW()-1)-1,"NA"))</f>
        <v>2.1048477274221433E-3</v>
      </c>
      <c r="E106" s="22" cm="1">
        <f t="array" ref="E106">IF(ROW()&lt;5,"NA",IFERROR(B106/INDEX($B:$B,ROW()-3)-1,"NA"))</f>
        <v>5.2050877900369219E-3</v>
      </c>
      <c r="F106" s="23">
        <f t="shared" si="1"/>
        <v>9.0379198310285375E-2</v>
      </c>
    </row>
    <row r="107" spans="1:6">
      <c r="A107" s="20">
        <v>43344</v>
      </c>
      <c r="B107" s="11">
        <v>13687.1</v>
      </c>
      <c r="C107" s="22" cm="1">
        <f t="array" ref="C107">IF(ROW()&lt;14,"",IFERROR(B107/INDEX($B:$B,ROW()-12)-1,""))</f>
        <v>2.4146239262518465E-2</v>
      </c>
      <c r="D107" s="22" cm="1">
        <f t="array" ref="D107">IF(ROW()&lt;3,"NA",IFERROR(B107/INDEX($B:$B,ROW()-1)-1,"NA"))</f>
        <v>-1.7795281333187196E-3</v>
      </c>
      <c r="E107" s="22" cm="1">
        <f t="array" ref="E107">IF(ROW()&lt;5,"NA",IFERROR(B107/INDEX($B:$B,ROW()-3)-1,"NA"))</f>
        <v>2.4462233680246914E-3</v>
      </c>
      <c r="F107" s="23">
        <f t="shared" si="1"/>
        <v>7.5545505823185796E-2</v>
      </c>
    </row>
    <row r="108" spans="1:6">
      <c r="A108" s="20">
        <v>43374</v>
      </c>
      <c r="B108" s="11">
        <v>13727.1</v>
      </c>
      <c r="C108" s="22" cm="1">
        <f t="array" ref="C108">IF(ROW()&lt;14,"",IFERROR(B108/INDEX($B:$B,ROW()-12)-1,""))</f>
        <v>2.6171787396277235E-2</v>
      </c>
      <c r="D108" s="22" cm="1">
        <f t="array" ref="D108">IF(ROW()&lt;3,"NA",IFERROR(B108/INDEX($B:$B,ROW()-1)-1,"NA"))</f>
        <v>2.9224598344426145E-3</v>
      </c>
      <c r="E108" s="22" cm="1">
        <f t="array" ref="E108">IF(ROW()&lt;5,"NA",IFERROR(B108/INDEX($B:$B,ROW()-3)-1,"NA"))</f>
        <v>3.2449735797759338E-3</v>
      </c>
      <c r="F108" s="23">
        <f t="shared" si="1"/>
        <v>9.9863034490562524E-2</v>
      </c>
    </row>
    <row r="109" spans="1:6">
      <c r="A109" s="20">
        <v>43405</v>
      </c>
      <c r="B109" s="11">
        <v>13800.3</v>
      </c>
      <c r="C109" s="22" cm="1">
        <f t="array" ref="C109">IF(ROW()&lt;14,"",IFERROR(B109/INDEX($B:$B,ROW()-12)-1,""))</f>
        <v>2.6021724422503612E-2</v>
      </c>
      <c r="D109" s="22" cm="1">
        <f t="array" ref="D109">IF(ROW()&lt;3,"NA",IFERROR(B109/INDEX($B:$B,ROW()-1)-1,"NA"))</f>
        <v>5.3325174290270727E-3</v>
      </c>
      <c r="E109" s="22" cm="1">
        <f t="array" ref="E109">IF(ROW()&lt;5,"NA",IFERROR(B109/INDEX($B:$B,ROW()-3)-1,"NA"))</f>
        <v>6.4763155015861162E-3</v>
      </c>
      <c r="F109" s="23">
        <f t="shared" si="1"/>
        <v>0.1443641119518613</v>
      </c>
    </row>
    <row r="110" spans="1:6">
      <c r="A110" s="20">
        <v>43435</v>
      </c>
      <c r="B110" s="11">
        <v>13682.3</v>
      </c>
      <c r="C110" s="22" cm="1">
        <f t="array" ref="C110">IF(ROW()&lt;14,"",IFERROR(B110/INDEX($B:$B,ROW()-12)-1,""))</f>
        <v>9.3615828378357246E-3</v>
      </c>
      <c r="D110" s="22" cm="1">
        <f t="array" ref="D110">IF(ROW()&lt;3,"NA",IFERROR(B110/INDEX($B:$B,ROW()-1)-1,"NA"))</f>
        <v>-8.5505387564038804E-3</v>
      </c>
      <c r="E110" s="22" cm="1">
        <f t="array" ref="E110">IF(ROW()&lt;5,"NA",IFERROR(B110/INDEX($B:$B,ROW()-3)-1,"NA"))</f>
        <v>-3.5069518013319811E-4</v>
      </c>
      <c r="F110" s="23">
        <f t="shared" si="1"/>
        <v>7.262740238309992E-2</v>
      </c>
    </row>
    <row r="111" spans="1:6">
      <c r="A111" s="20">
        <v>43466</v>
      </c>
      <c r="B111" s="11">
        <v>13721.7</v>
      </c>
      <c r="C111" s="22" cm="1">
        <f t="array" ref="C111">IF(ROW()&lt;14,"",IFERROR(B111/INDEX($B:$B,ROW()-12)-1,""))</f>
        <v>1.3322206878217058E-2</v>
      </c>
      <c r="D111" s="22" cm="1">
        <f t="array" ref="D111">IF(ROW()&lt;3,"NA",IFERROR(B111/INDEX($B:$B,ROW()-1)-1,"NA"))</f>
        <v>2.8796328102731472E-3</v>
      </c>
      <c r="E111" s="22" cm="1">
        <f t="array" ref="E111">IF(ROW()&lt;5,"NA",IFERROR(B111/INDEX($B:$B,ROW()-3)-1,"NA"))</f>
        <v>-3.9338243328890243E-4</v>
      </c>
      <c r="F111" s="23">
        <f t="shared" si="1"/>
        <v>9.6580168120466894E-2</v>
      </c>
    </row>
    <row r="112" spans="1:6">
      <c r="A112" s="20">
        <v>43497</v>
      </c>
      <c r="B112" s="11">
        <v>13728.5</v>
      </c>
      <c r="C112" s="22" cm="1">
        <f t="array" ref="C112">IF(ROW()&lt;14,"",IFERROR(B112/INDEX($B:$B,ROW()-12)-1,""))</f>
        <v>1.3375358927609327E-2</v>
      </c>
      <c r="D112" s="22" cm="1">
        <f t="array" ref="D112">IF(ROW()&lt;3,"NA",IFERROR(B112/INDEX($B:$B,ROW()-1)-1,"NA"))</f>
        <v>4.9556541827899814E-4</v>
      </c>
      <c r="E112" s="22" cm="1">
        <f t="array" ref="E112">IF(ROW()&lt;5,"NA",IFERROR(B112/INDEX($B:$B,ROW()-3)-1,"NA"))</f>
        <v>-5.20278544669317E-3</v>
      </c>
      <c r="F112" s="23">
        <f t="shared" si="1"/>
        <v>0.10071414799392049</v>
      </c>
    </row>
    <row r="113" spans="1:6">
      <c r="A113" s="20">
        <v>43525</v>
      </c>
      <c r="B113" s="11">
        <v>13824.8</v>
      </c>
      <c r="C113" s="22" cm="1">
        <f t="array" ref="C113">IF(ROW()&lt;14,"",IFERROR(B113/INDEX($B:$B,ROW()-12)-1,""))</f>
        <v>1.7539469326169232E-2</v>
      </c>
      <c r="D113" s="22" cm="1">
        <f t="array" ref="D113">IF(ROW()&lt;3,"NA",IFERROR(B113/INDEX($B:$B,ROW()-1)-1,"NA"))</f>
        <v>7.0146046545507268E-3</v>
      </c>
      <c r="E113" s="22" cm="1">
        <f t="array" ref="E113">IF(ROW()&lt;5,"NA",IFERROR(B113/INDEX($B:$B,ROW()-3)-1,"NA"))</f>
        <v>1.041491562091168E-2</v>
      </c>
      <c r="F113" s="23">
        <f t="shared" si="1"/>
        <v>0.15925859826062955</v>
      </c>
    </row>
    <row r="114" spans="1:6">
      <c r="A114" s="20">
        <v>43556</v>
      </c>
      <c r="B114" s="11">
        <v>13825.9</v>
      </c>
      <c r="C114" s="22" cm="1">
        <f t="array" ref="C114">IF(ROW()&lt;14,"",IFERROR(B114/INDEX($B:$B,ROW()-12)-1,""))</f>
        <v>1.6707479391412372E-2</v>
      </c>
      <c r="D114" s="22" cm="1">
        <f t="array" ref="D114">IF(ROW()&lt;3,"NA",IFERROR(B114/INDEX($B:$B,ROW()-1)-1,"NA"))</f>
        <v>7.9567154678494845E-5</v>
      </c>
      <c r="E114" s="22" cm="1">
        <f t="array" ref="E114">IF(ROW()&lt;5,"NA",IFERROR(B114/INDEX($B:$B,ROW()-3)-1,"NA"))</f>
        <v>7.5938112624527321E-3</v>
      </c>
      <c r="F114" s="23">
        <f t="shared" si="1"/>
        <v>0.15992733029898262</v>
      </c>
    </row>
    <row r="115" spans="1:6">
      <c r="A115" s="20">
        <v>43586</v>
      </c>
      <c r="B115" s="11">
        <v>13877.1</v>
      </c>
      <c r="C115" s="22" cm="1">
        <f t="array" ref="C115">IF(ROW()&lt;14,"",IFERROR(B115/INDEX($B:$B,ROW()-12)-1,""))</f>
        <v>1.7345405227081168E-2</v>
      </c>
      <c r="D115" s="22" cm="1">
        <f t="array" ref="D115">IF(ROW()&lt;3,"NA",IFERROR(B115/INDEX($B:$B,ROW()-1)-1,"NA"))</f>
        <v>3.7031947287338163E-3</v>
      </c>
      <c r="E115" s="22" cm="1">
        <f t="array" ref="E115">IF(ROW()&lt;5,"NA",IFERROR(B115/INDEX($B:$B,ROW()-3)-1,"NA"))</f>
        <v>1.0824197836617255E-2</v>
      </c>
      <c r="F115" s="23">
        <f t="shared" si="1"/>
        <v>0.19105376699322529</v>
      </c>
    </row>
    <row r="116" spans="1:6">
      <c r="A116" s="20">
        <v>43617</v>
      </c>
      <c r="B116" s="11">
        <v>13924.1</v>
      </c>
      <c r="C116" s="22" cm="1">
        <f t="array" ref="C116">IF(ROW()&lt;14,"",IFERROR(B116/INDEX($B:$B,ROW()-12)-1,""))</f>
        <v>1.9804155650116728E-2</v>
      </c>
      <c r="D116" s="22" cm="1">
        <f t="array" ref="D116">IF(ROW()&lt;3,"NA",IFERROR(B116/INDEX($B:$B,ROW()-1)-1,"NA"))</f>
        <v>3.3868747793126541E-3</v>
      </c>
      <c r="E116" s="22" cm="1">
        <f t="array" ref="E116">IF(ROW()&lt;5,"NA",IFERROR(B116/INDEX($B:$B,ROW()-3)-1,"NA"))</f>
        <v>7.1827440541636367E-3</v>
      </c>
      <c r="F116" s="23">
        <f t="shared" si="1"/>
        <v>0.21962686317739297</v>
      </c>
    </row>
    <row r="117" spans="1:6">
      <c r="A117" s="20">
        <v>43647</v>
      </c>
      <c r="B117" s="11">
        <v>13989.9</v>
      </c>
      <c r="C117" s="22" cm="1">
        <f t="array" ref="C117">IF(ROW()&lt;14,"",IFERROR(B117/INDEX($B:$B,ROW()-12)-1,""))</f>
        <v>2.2451709092503602E-2</v>
      </c>
      <c r="D117" s="22" cm="1">
        <f t="array" ref="D117">IF(ROW()&lt;3,"NA",IFERROR(B117/INDEX($B:$B,ROW()-1)-1,"NA"))</f>
        <v>4.7256196091667313E-3</v>
      </c>
      <c r="E117" s="22" cm="1">
        <f t="array" ref="E117">IF(ROW()&lt;5,"NA",IFERROR(B117/INDEX($B:$B,ROW()-3)-1,"NA"))</f>
        <v>1.1861795615475401E-2</v>
      </c>
      <c r="F117" s="23">
        <f t="shared" si="1"/>
        <v>0.25962919783522725</v>
      </c>
    </row>
    <row r="118" spans="1:6">
      <c r="A118" s="20">
        <v>43678</v>
      </c>
      <c r="B118" s="11">
        <v>14043.6</v>
      </c>
      <c r="C118" s="22" cm="1">
        <f t="array" ref="C118">IF(ROW()&lt;14,"",IFERROR(B118/INDEX($B:$B,ROW()-12)-1,""))</f>
        <v>2.4220544798162047E-2</v>
      </c>
      <c r="D118" s="22" cm="1">
        <f t="array" ref="D118">IF(ROW()&lt;3,"NA",IFERROR(B118/INDEX($B:$B,ROW()-1)-1,"NA"))</f>
        <v>3.8384834773659282E-3</v>
      </c>
      <c r="E118" s="22" cm="1">
        <f t="array" ref="E118">IF(ROW()&lt;5,"NA",IFERROR(B118/INDEX($B:$B,ROW()-3)-1,"NA"))</f>
        <v>1.1998184058628958E-2</v>
      </c>
      <c r="F118" s="23">
        <f t="shared" si="1"/>
        <v>0.29227548007118098</v>
      </c>
    </row>
    <row r="119" spans="1:6">
      <c r="A119" s="20">
        <v>43709</v>
      </c>
      <c r="B119" s="11">
        <v>14066.2</v>
      </c>
      <c r="C119" s="22" cm="1">
        <f t="array" ref="C119">IF(ROW()&lt;14,"",IFERROR(B119/INDEX($B:$B,ROW()-12)-1,""))</f>
        <v>2.7697613080930328E-2</v>
      </c>
      <c r="D119" s="22" cm="1">
        <f t="array" ref="D119">IF(ROW()&lt;3,"NA",IFERROR(B119/INDEX($B:$B,ROW()-1)-1,"NA"))</f>
        <v>1.6092739753339469E-3</v>
      </c>
      <c r="E119" s="22" cm="1">
        <f t="array" ref="E119">IF(ROW()&lt;5,"NA",IFERROR(B119/INDEX($B:$B,ROW()-3)-1,"NA"))</f>
        <v>1.0205327453838953E-2</v>
      </c>
      <c r="F119" s="23">
        <f t="shared" si="1"/>
        <v>0.30601488376824904</v>
      </c>
    </row>
    <row r="120" spans="1:6">
      <c r="A120" s="20">
        <v>43739</v>
      </c>
      <c r="B120" s="11">
        <v>14067.2</v>
      </c>
      <c r="C120" s="22" cm="1">
        <f t="array" ref="C120">IF(ROW()&lt;14,"",IFERROR(B120/INDEX($B:$B,ROW()-12)-1,""))</f>
        <v>2.4775808437324631E-2</v>
      </c>
      <c r="D120" s="22" cm="1">
        <f t="array" ref="D120">IF(ROW()&lt;3,"NA",IFERROR(B120/INDEX($B:$B,ROW()-1)-1,"NA"))</f>
        <v>7.1092405909300993E-5</v>
      </c>
      <c r="E120" s="22" cm="1">
        <f t="array" ref="E120">IF(ROW()&lt;5,"NA",IFERROR(B120/INDEX($B:$B,ROW()-3)-1,"NA"))</f>
        <v>5.5254147635079853E-3</v>
      </c>
      <c r="F120" s="23">
        <f t="shared" si="1"/>
        <v>0.30662282198493346</v>
      </c>
    </row>
    <row r="121" spans="1:6">
      <c r="A121" s="20">
        <v>43770</v>
      </c>
      <c r="B121" s="11">
        <v>14142.8</v>
      </c>
      <c r="C121" s="22" cm="1">
        <f t="array" ref="C121">IF(ROW()&lt;14,"",IFERROR(B121/INDEX($B:$B,ROW()-12)-1,""))</f>
        <v>2.4818301051426461E-2</v>
      </c>
      <c r="D121" s="22" cm="1">
        <f t="array" ref="D121">IF(ROW()&lt;3,"NA",IFERROR(B121/INDEX($B:$B,ROW()-1)-1,"NA"))</f>
        <v>5.3742038216559873E-3</v>
      </c>
      <c r="E121" s="22" cm="1">
        <f t="array" ref="E121">IF(ROW()&lt;5,"NA",IFERROR(B121/INDEX($B:$B,ROW()-3)-1,"NA"))</f>
        <v>7.0637158563331415E-3</v>
      </c>
      <c r="F121" s="23">
        <f t="shared" si="1"/>
        <v>0.35258295116627458</v>
      </c>
    </row>
    <row r="122" spans="1:6">
      <c r="A122" s="20">
        <v>43800</v>
      </c>
      <c r="B122" s="11">
        <v>14165.7</v>
      </c>
      <c r="C122" s="22" cm="1">
        <f t="array" ref="C122">IF(ROW()&lt;14,"",IFERROR(B122/INDEX($B:$B,ROW()-12)-1,""))</f>
        <v>3.5330317271219158E-2</v>
      </c>
      <c r="D122" s="22" cm="1">
        <f t="array" ref="D122">IF(ROW()&lt;3,"NA",IFERROR(B122/INDEX($B:$B,ROW()-1)-1,"NA"))</f>
        <v>1.6191984614080113E-3</v>
      </c>
      <c r="E122" s="22" cm="1">
        <f t="array" ref="E122">IF(ROW()&lt;5,"NA",IFERROR(B122/INDEX($B:$B,ROW()-3)-1,"NA"))</f>
        <v>7.0736943879654568E-3</v>
      </c>
      <c r="F122" s="23">
        <f t="shared" si="1"/>
        <v>0.36650473632834868</v>
      </c>
    </row>
    <row r="123" spans="1:6">
      <c r="A123" s="20">
        <v>43831</v>
      </c>
      <c r="B123" s="11">
        <v>14230.7</v>
      </c>
      <c r="C123" s="22" cm="1">
        <f t="array" ref="C123">IF(ROW()&lt;14,"",IFERROR(B123/INDEX($B:$B,ROW()-12)-1,""))</f>
        <v>3.7094529103536722E-2</v>
      </c>
      <c r="D123" s="22" cm="1">
        <f t="array" ref="D123">IF(ROW()&lt;3,"NA",IFERROR(B123/INDEX($B:$B,ROW()-1)-1,"NA"))</f>
        <v>4.5885483950669492E-3</v>
      </c>
      <c r="E123" s="22" cm="1">
        <f t="array" ref="E123">IF(ROW()&lt;5,"NA",IFERROR(B123/INDEX($B:$B,ROW()-3)-1,"NA"))</f>
        <v>1.1622782074613314E-2</v>
      </c>
      <c r="F123" s="23">
        <f t="shared" si="1"/>
        <v>0.40602072041283588</v>
      </c>
    </row>
    <row r="124" spans="1:6">
      <c r="A124" s="20">
        <v>43862</v>
      </c>
      <c r="B124" s="11">
        <v>14181.4</v>
      </c>
      <c r="C124" s="22" cm="1">
        <f t="array" ref="C124">IF(ROW()&lt;14,"",IFERROR(B124/INDEX($B:$B,ROW()-12)-1,""))</f>
        <v>3.2989765815639061E-2</v>
      </c>
      <c r="D124" s="22" cm="1">
        <f t="array" ref="D124">IF(ROW()&lt;3,"NA",IFERROR(B124/INDEX($B:$B,ROW()-1)-1,"NA"))</f>
        <v>-3.4643411778760846E-3</v>
      </c>
      <c r="E124" s="22" cm="1">
        <f t="array" ref="E124">IF(ROW()&lt;5,"NA",IFERROR(B124/INDEX($B:$B,ROW()-3)-1,"NA"))</f>
        <v>2.7293039567837241E-3</v>
      </c>
      <c r="F124" s="23">
        <f t="shared" si="1"/>
        <v>0.37604936633029334</v>
      </c>
    </row>
    <row r="125" spans="1:6">
      <c r="A125" s="20">
        <v>43891</v>
      </c>
      <c r="B125" s="11">
        <v>13249.1</v>
      </c>
      <c r="C125" s="22" cm="1">
        <f t="array" ref="C125">IF(ROW()&lt;14,"",IFERROR(B125/INDEX($B:$B,ROW()-12)-1,""))</f>
        <v>-4.1642555407673143E-2</v>
      </c>
      <c r="D125" s="22" cm="1">
        <f t="array" ref="D125">IF(ROW()&lt;3,"NA",IFERROR(B125/INDEX($B:$B,ROW()-1)-1,"NA"))</f>
        <v>-6.5741041081980534E-2</v>
      </c>
      <c r="E125" s="22" cm="1">
        <f t="array" ref="E125">IF(ROW()&lt;5,"NA",IFERROR(B125/INDEX($B:$B,ROW()-3)-1,"NA"))</f>
        <v>-6.4705591675667251E-2</v>
      </c>
      <c r="F125" s="23">
        <f t="shared" si="1"/>
        <v>-0.19073143308458948</v>
      </c>
    </row>
    <row r="126" spans="1:6">
      <c r="A126" s="20">
        <v>43922</v>
      </c>
      <c r="B126" s="11">
        <v>11798.6</v>
      </c>
      <c r="C126" s="22" cm="1">
        <f t="array" ref="C126">IF(ROW()&lt;14,"",IFERROR(B126/INDEX($B:$B,ROW()-12)-1,""))</f>
        <v>-0.14663059909300658</v>
      </c>
      <c r="D126" s="22" cm="1">
        <f t="array" ref="D126">IF(ROW()&lt;3,"NA",IFERROR(B126/INDEX($B:$B,ROW()-1)-1,"NA"))</f>
        <v>-0.10947913443177271</v>
      </c>
      <c r="E126" s="22" cm="1">
        <f t="array" ref="E126">IF(ROW()&lt;5,"NA",IFERROR(B126/INDEX($B:$B,ROW()-3)-1,"NA"))</f>
        <v>-0.1709051557548118</v>
      </c>
      <c r="F126" s="23">
        <f t="shared" si="1"/>
        <v>-1.0725458163853383</v>
      </c>
    </row>
    <row r="127" spans="1:6">
      <c r="A127" s="20">
        <v>43952</v>
      </c>
      <c r="B127" s="11">
        <v>12780.5</v>
      </c>
      <c r="C127" s="22" cm="1">
        <f t="array" ref="C127">IF(ROW()&lt;14,"",IFERROR(B127/INDEX($B:$B,ROW()-12)-1,""))</f>
        <v>-7.9022274106261392E-2</v>
      </c>
      <c r="D127" s="22" cm="1">
        <f t="array" ref="D127">IF(ROW()&lt;3,"NA",IFERROR(B127/INDEX($B:$B,ROW()-1)-1,"NA"))</f>
        <v>8.3221738172325477E-2</v>
      </c>
      <c r="E127" s="22" cm="1">
        <f t="array" ref="E127">IF(ROW()&lt;5,"NA",IFERROR(B127/INDEX($B:$B,ROW()-3)-1,"NA"))</f>
        <v>-9.8784323127476759E-2</v>
      </c>
      <c r="F127" s="23">
        <f t="shared" si="1"/>
        <v>-0.47561128142290815</v>
      </c>
    </row>
    <row r="128" spans="1:6">
      <c r="A128" s="20">
        <v>43983</v>
      </c>
      <c r="B128" s="11">
        <v>13476.8</v>
      </c>
      <c r="C128" s="22" cm="1">
        <f t="array" ref="C128">IF(ROW()&lt;14,"",IFERROR(B128/INDEX($B:$B,ROW()-12)-1,""))</f>
        <v>-3.2124158832527838E-2</v>
      </c>
      <c r="D128" s="22" cm="1">
        <f t="array" ref="D128">IF(ROW()&lt;3,"NA",IFERROR(B128/INDEX($B:$B,ROW()-1)-1,"NA"))</f>
        <v>5.4481436563514674E-2</v>
      </c>
      <c r="E128" s="22" cm="1">
        <f t="array" ref="E128">IF(ROW()&lt;5,"NA",IFERROR(B128/INDEX($B:$B,ROW()-3)-1,"NA"))</f>
        <v>1.7186073016280279E-2</v>
      </c>
      <c r="F128" s="23">
        <f t="shared" si="1"/>
        <v>-5.230390114554806E-2</v>
      </c>
    </row>
    <row r="129" spans="1:6">
      <c r="A129" s="20">
        <v>44013</v>
      </c>
      <c r="B129" s="11">
        <v>13683.5</v>
      </c>
      <c r="C129" s="22" cm="1">
        <f t="array" ref="C129">IF(ROW()&lt;14,"",IFERROR(B129/INDEX($B:$B,ROW()-12)-1,""))</f>
        <v>-2.1901514664150579E-2</v>
      </c>
      <c r="D129" s="22" cm="1">
        <f t="array" ref="D129">IF(ROW()&lt;3,"NA",IFERROR(B129/INDEX($B:$B,ROW()-1)-1,"NA"))</f>
        <v>1.5337468835331824E-2</v>
      </c>
      <c r="E129" s="22" cm="1">
        <f t="array" ref="E129">IF(ROW()&lt;5,"NA",IFERROR(B129/INDEX($B:$B,ROW()-3)-1,"NA"))</f>
        <v>0.15975624226603147</v>
      </c>
      <c r="F129" s="23">
        <f t="shared" si="1"/>
        <v>7.3356928243121663E-2</v>
      </c>
    </row>
    <row r="130" spans="1:6">
      <c r="A130" s="20">
        <v>44044</v>
      </c>
      <c r="B130" s="11">
        <v>13793</v>
      </c>
      <c r="C130" s="22" cm="1">
        <f t="array" ref="C130">IF(ROW()&lt;14,"",IFERROR(B130/INDEX($B:$B,ROW()-12)-1,""))</f>
        <v>-1.7844427354809289E-2</v>
      </c>
      <c r="D130" s="22" cm="1">
        <f t="array" ref="D130">IF(ROW()&lt;3,"NA",IFERROR(B130/INDEX($B:$B,ROW()-1)-1,"NA"))</f>
        <v>8.0023385829648408E-3</v>
      </c>
      <c r="E130" s="22" cm="1">
        <f t="array" ref="E130">IF(ROW()&lt;5,"NA",IFERROR(B130/INDEX($B:$B,ROW()-3)-1,"NA"))</f>
        <v>7.9222252650522185E-2</v>
      </c>
      <c r="F130" s="23">
        <f t="shared" si="1"/>
        <v>0.13992616297006549</v>
      </c>
    </row>
    <row r="131" spans="1:6">
      <c r="A131" s="20">
        <v>44075</v>
      </c>
      <c r="B131" s="11">
        <v>13964.6</v>
      </c>
      <c r="C131" s="22" cm="1">
        <f t="array" ref="C131">IF(ROW()&lt;14,"",IFERROR(B131/INDEX($B:$B,ROW()-12)-1,""))</f>
        <v>-7.2229884403748335E-3</v>
      </c>
      <c r="D131" s="22" cm="1">
        <f t="array" ref="D131">IF(ROW()&lt;3,"NA",IFERROR(B131/INDEX($B:$B,ROW()-1)-1,"NA"))</f>
        <v>1.2441093308199758E-2</v>
      </c>
      <c r="E131" s="22" cm="1">
        <f t="array" ref="E131">IF(ROW()&lt;5,"NA",IFERROR(B131/INDEX($B:$B,ROW()-3)-1,"NA"))</f>
        <v>3.619553603229253E-2</v>
      </c>
      <c r="F131" s="23">
        <f t="shared" si="1"/>
        <v>0.24424836095311189</v>
      </c>
    </row>
    <row r="132" spans="1:6">
      <c r="A132" s="20">
        <v>44105</v>
      </c>
      <c r="B132" s="11">
        <v>14007.1</v>
      </c>
      <c r="C132" s="22" cm="1">
        <f t="array" ref="C132">IF(ROW()&lt;14,"",IFERROR(B132/INDEX($B:$B,ROW()-12)-1,""))</f>
        <v>-4.2723498635123258E-3</v>
      </c>
      <c r="D132" s="22" cm="1">
        <f t="array" ref="D132">IF(ROW()&lt;3,"NA",IFERROR(B132/INDEX($B:$B,ROW()-1)-1,"NA"))</f>
        <v>3.0434097646907521E-3</v>
      </c>
      <c r="E132" s="22" cm="1">
        <f t="array" ref="E132">IF(ROW()&lt;5,"NA",IFERROR(B132/INDEX($B:$B,ROW()-3)-1,"NA"))</f>
        <v>2.364892023239662E-2</v>
      </c>
      <c r="F132" s="23">
        <f t="shared" ref="F132:F194" si="2">IFERROR((B132-AVERAGE($B:$B))/_xlfn.STDEV.S($B:$B),"")</f>
        <v>0.27008573516219969</v>
      </c>
    </row>
    <row r="133" spans="1:6">
      <c r="A133" s="20">
        <v>44136</v>
      </c>
      <c r="B133" s="11">
        <v>13970.3</v>
      </c>
      <c r="C133" s="22" cm="1">
        <f t="array" ref="C133">IF(ROW()&lt;14,"",IFERROR(B133/INDEX($B:$B,ROW()-12)-1,""))</f>
        <v>-1.2197018977854412E-2</v>
      </c>
      <c r="D133" s="22" cm="1">
        <f t="array" ref="D133">IF(ROW()&lt;3,"NA",IFERROR(B133/INDEX($B:$B,ROW()-1)-1,"NA"))</f>
        <v>-2.6272390430568393E-3</v>
      </c>
      <c r="E133" s="22" cm="1">
        <f t="array" ref="E133">IF(ROW()&lt;5,"NA",IFERROR(B133/INDEX($B:$B,ROW()-3)-1,"NA"))</f>
        <v>1.2854346407598083E-2</v>
      </c>
      <c r="F133" s="23">
        <f t="shared" si="2"/>
        <v>0.24771360878821241</v>
      </c>
    </row>
    <row r="134" spans="1:6">
      <c r="A134" s="20">
        <v>44166</v>
      </c>
      <c r="B134" s="11">
        <v>14026.7</v>
      </c>
      <c r="C134" s="22" cm="1">
        <f t="array" ref="C134">IF(ROW()&lt;14,"",IFERROR(B134/INDEX($B:$B,ROW()-12)-1,""))</f>
        <v>-9.8124342602201597E-3</v>
      </c>
      <c r="D134" s="22" cm="1">
        <f t="array" ref="D134">IF(ROW()&lt;3,"NA",IFERROR(B134/INDEX($B:$B,ROW()-1)-1,"NA"))</f>
        <v>4.0371359240676252E-3</v>
      </c>
      <c r="E134" s="22" cm="1">
        <f t="array" ref="E134">IF(ROW()&lt;5,"NA",IFERROR(B134/INDEX($B:$B,ROW()-3)-1,"NA"))</f>
        <v>4.4469587385245202E-3</v>
      </c>
      <c r="F134" s="23">
        <f t="shared" si="2"/>
        <v>0.28200132420921448</v>
      </c>
    </row>
    <row r="135" spans="1:6">
      <c r="A135" s="20">
        <v>44197</v>
      </c>
      <c r="B135" s="11">
        <v>14204.7</v>
      </c>
      <c r="C135" s="22" cm="1">
        <f t="array" ref="C135">IF(ROW()&lt;14,"",IFERROR(B135/INDEX($B:$B,ROW()-12)-1,""))</f>
        <v>-1.8270359153098603E-3</v>
      </c>
      <c r="D135" s="22" cm="1">
        <f t="array" ref="D135">IF(ROW()&lt;3,"NA",IFERROR(B135/INDEX($B:$B,ROW()-1)-1,"NA"))</f>
        <v>1.2690083911397476E-2</v>
      </c>
      <c r="E135" s="22" cm="1">
        <f t="array" ref="E135">IF(ROW()&lt;5,"NA",IFERROR(B135/INDEX($B:$B,ROW()-3)-1,"NA"))</f>
        <v>1.4107131383369831E-2</v>
      </c>
      <c r="F135" s="23">
        <f t="shared" si="2"/>
        <v>0.390214326779041</v>
      </c>
    </row>
    <row r="136" spans="1:6">
      <c r="A136" s="20">
        <v>44228</v>
      </c>
      <c r="B136" s="11">
        <v>14074.1</v>
      </c>
      <c r="C136" s="22" cm="1">
        <f t="array" ref="C136">IF(ROW()&lt;14,"",IFERROR(B136/INDEX($B:$B,ROW()-12)-1,""))</f>
        <v>-7.5662487483604268E-3</v>
      </c>
      <c r="D136" s="22" cm="1">
        <f t="array" ref="D136">IF(ROW()&lt;3,"NA",IFERROR(B136/INDEX($B:$B,ROW()-1)-1,"NA"))</f>
        <v>-9.1941399677571978E-3</v>
      </c>
      <c r="E136" s="22" cm="1">
        <f t="array" ref="E136">IF(ROW()&lt;5,"NA",IFERROR(B136/INDEX($B:$B,ROW()-3)-1,"NA"))</f>
        <v>7.4300480304647643E-3</v>
      </c>
      <c r="F136" s="23">
        <f t="shared" si="2"/>
        <v>0.31081759568005574</v>
      </c>
    </row>
    <row r="137" spans="1:6">
      <c r="A137" s="20">
        <v>44256</v>
      </c>
      <c r="B137" s="11">
        <v>14680</v>
      </c>
      <c r="C137" s="22" cm="1">
        <f t="array" ref="C137">IF(ROW()&lt;14,"",IFERROR(B137/INDEX($B:$B,ROW()-12)-1,""))</f>
        <v>0.10799978866489046</v>
      </c>
      <c r="D137" s="22" cm="1">
        <f t="array" ref="D137">IF(ROW()&lt;3,"NA",IFERROR(B137/INDEX($B:$B,ROW()-1)-1,"NA"))</f>
        <v>4.3050710169744377E-2</v>
      </c>
      <c r="E137" s="22" cm="1">
        <f t="array" ref="E137">IF(ROW()&lt;5,"NA",IFERROR(B137/INDEX($B:$B,ROW()-3)-1,"NA"))</f>
        <v>4.6575459659078611E-2</v>
      </c>
      <c r="F137" s="23">
        <f t="shared" si="2"/>
        <v>0.67916736116914456</v>
      </c>
    </row>
    <row r="138" spans="1:6">
      <c r="A138" s="20">
        <v>44287</v>
      </c>
      <c r="B138" s="11">
        <v>14796</v>
      </c>
      <c r="C138" s="22" cm="1">
        <f t="array" ref="C138">IF(ROW()&lt;14,"",IFERROR(B138/INDEX($B:$B,ROW()-12)-1,""))</f>
        <v>0.25404709033275141</v>
      </c>
      <c r="D138" s="22" cm="1">
        <f t="array" ref="D138">IF(ROW()&lt;3,"NA",IFERROR(B138/INDEX($B:$B,ROW()-1)-1,"NA"))</f>
        <v>7.901907356948179E-3</v>
      </c>
      <c r="E138" s="22" cm="1">
        <f t="array" ref="E138">IF(ROW()&lt;5,"NA",IFERROR(B138/INDEX($B:$B,ROW()-3)-1,"NA"))</f>
        <v>4.1627067097509851E-2</v>
      </c>
      <c r="F138" s="23">
        <f t="shared" si="2"/>
        <v>0.74968819430453715</v>
      </c>
    </row>
    <row r="139" spans="1:6">
      <c r="A139" s="20">
        <v>44317</v>
      </c>
      <c r="B139" s="11">
        <v>14771.4</v>
      </c>
      <c r="C139" s="22" cm="1">
        <f t="array" ref="C139">IF(ROW()&lt;14,"",IFERROR(B139/INDEX($B:$B,ROW()-12)-1,""))</f>
        <v>0.15577637807597511</v>
      </c>
      <c r="D139" s="22" cm="1">
        <f t="array" ref="D139">IF(ROW()&lt;3,"NA",IFERROR(B139/INDEX($B:$B,ROW()-1)-1,"NA"))</f>
        <v>-1.6626115166261668E-3</v>
      </c>
      <c r="E139" s="22" cm="1">
        <f t="array" ref="E139">IF(ROW()&lt;5,"NA",IFERROR(B139/INDEX($B:$B,ROW()-3)-1,"NA"))</f>
        <v>4.9544908733062831E-2</v>
      </c>
      <c r="F139" s="23">
        <f t="shared" si="2"/>
        <v>0.73473291417410025</v>
      </c>
    </row>
    <row r="140" spans="1:6">
      <c r="A140" s="20">
        <v>44348</v>
      </c>
      <c r="B140" s="11">
        <v>14892.6</v>
      </c>
      <c r="C140" s="22" cm="1">
        <f t="array" ref="C140">IF(ROW()&lt;14,"",IFERROR(B140/INDEX($B:$B,ROW()-12)-1,""))</f>
        <v>0.10505461237088931</v>
      </c>
      <c r="D140" s="22" cm="1">
        <f t="array" ref="D140">IF(ROW()&lt;3,"NA",IFERROR(B140/INDEX($B:$B,ROW()-1)-1,"NA"))</f>
        <v>8.2050448840327306E-3</v>
      </c>
      <c r="E140" s="22" cm="1">
        <f t="array" ref="E140">IF(ROW()&lt;5,"NA",IFERROR(B140/INDEX($B:$B,ROW()-3)-1,"NA"))</f>
        <v>1.4482288828337797E-2</v>
      </c>
      <c r="F140" s="23">
        <f t="shared" si="2"/>
        <v>0.80841502603625215</v>
      </c>
    </row>
    <row r="141" spans="1:6">
      <c r="A141" s="20">
        <v>44378</v>
      </c>
      <c r="B141" s="11">
        <v>14869</v>
      </c>
      <c r="C141" s="22" cm="1">
        <f t="array" ref="C141">IF(ROW()&lt;14,"",IFERROR(B141/INDEX($B:$B,ROW()-12)-1,""))</f>
        <v>8.6637190777213435E-2</v>
      </c>
      <c r="D141" s="22" cm="1">
        <f t="array" ref="D141">IF(ROW()&lt;3,"NA",IFERROR(B141/INDEX($B:$B,ROW()-1)-1,"NA"))</f>
        <v>-1.5846796395525553E-3</v>
      </c>
      <c r="E141" s="22" cm="1">
        <f t="array" ref="E141">IF(ROW()&lt;5,"NA",IFERROR(B141/INDEX($B:$B,ROW()-3)-1,"NA"))</f>
        <v>4.9337658826709152E-3</v>
      </c>
      <c r="F141" s="23">
        <f t="shared" si="2"/>
        <v>0.79406768412249973</v>
      </c>
    </row>
    <row r="142" spans="1:6">
      <c r="A142" s="20">
        <v>44409</v>
      </c>
      <c r="B142" s="11">
        <v>14970.2</v>
      </c>
      <c r="C142" s="22" cm="1">
        <f t="array" ref="C142">IF(ROW()&lt;14,"",IFERROR(B142/INDEX($B:$B,ROW()-12)-1,""))</f>
        <v>8.5347640107300782E-2</v>
      </c>
      <c r="D142" s="22" cm="1">
        <f t="array" ref="D142">IF(ROW()&lt;3,"NA",IFERROR(B142/INDEX($B:$B,ROW()-1)-1,"NA"))</f>
        <v>6.806106664873246E-3</v>
      </c>
      <c r="E142" s="22" cm="1">
        <f t="array" ref="E142">IF(ROW()&lt;5,"NA",IFERROR(B142/INDEX($B:$B,ROW()-3)-1,"NA"))</f>
        <v>1.3458439958297763E-2</v>
      </c>
      <c r="F142" s="23">
        <f t="shared" si="2"/>
        <v>0.85559103165096329</v>
      </c>
    </row>
    <row r="143" spans="1:6">
      <c r="A143" s="20">
        <v>44440</v>
      </c>
      <c r="B143" s="11">
        <v>14990.6</v>
      </c>
      <c r="C143" s="22" cm="1">
        <f t="array" ref="C143">IF(ROW()&lt;14,"",IFERROR(B143/INDEX($B:$B,ROW()-12)-1,""))</f>
        <v>7.347149220171012E-2</v>
      </c>
      <c r="D143" s="22" cm="1">
        <f t="array" ref="D143">IF(ROW()&lt;3,"NA",IFERROR(B143/INDEX($B:$B,ROW()-1)-1,"NA"))</f>
        <v>1.3627072450601574E-3</v>
      </c>
      <c r="E143" s="22" cm="1">
        <f t="array" ref="E143">IF(ROW()&lt;5,"NA",IFERROR(B143/INDEX($B:$B,ROW()-3)-1,"NA"))</f>
        <v>6.5804493506842476E-3</v>
      </c>
      <c r="F143" s="23">
        <f t="shared" si="2"/>
        <v>0.86799297127132513</v>
      </c>
    </row>
    <row r="144" spans="1:6">
      <c r="A144" s="20">
        <v>44470</v>
      </c>
      <c r="B144" s="11">
        <v>15085.5</v>
      </c>
      <c r="C144" s="22" cm="1">
        <f t="array" ref="C144">IF(ROW()&lt;14,"",IFERROR(B144/INDEX($B:$B,ROW()-12)-1,""))</f>
        <v>7.6989526740010472E-2</v>
      </c>
      <c r="D144" s="22" cm="1">
        <f t="array" ref="D144">IF(ROW()&lt;3,"NA",IFERROR(B144/INDEX($B:$B,ROW()-1)-1,"NA"))</f>
        <v>6.3306338638879911E-3</v>
      </c>
      <c r="E144" s="22" cm="1">
        <f t="array" ref="E144">IF(ROW()&lt;5,"NA",IFERROR(B144/INDEX($B:$B,ROW()-3)-1,"NA"))</f>
        <v>1.4560494989575679E-2</v>
      </c>
      <c r="F144" s="23">
        <f t="shared" si="2"/>
        <v>0.92568630803467622</v>
      </c>
    </row>
    <row r="145" spans="1:6">
      <c r="A145" s="20">
        <v>44501</v>
      </c>
      <c r="B145" s="11">
        <v>15115.9</v>
      </c>
      <c r="C145" s="22" cm="1">
        <f t="array" ref="C145">IF(ROW()&lt;14,"",IFERROR(B145/INDEX($B:$B,ROW()-12)-1,""))</f>
        <v>8.2002533947016287E-2</v>
      </c>
      <c r="D145" s="22" cm="1">
        <f t="array" ref="D145">IF(ROW()&lt;3,"NA",IFERROR(B145/INDEX($B:$B,ROW()-1)-1,"NA"))</f>
        <v>2.0151801398693436E-3</v>
      </c>
      <c r="E145" s="22" cm="1">
        <f t="array" ref="E145">IF(ROW()&lt;5,"NA",IFERROR(B145/INDEX($B:$B,ROW()-3)-1,"NA"))</f>
        <v>9.7326689022190216E-3</v>
      </c>
      <c r="F145" s="23">
        <f t="shared" si="2"/>
        <v>0.9441676298218824</v>
      </c>
    </row>
    <row r="146" spans="1:6">
      <c r="A146" s="20">
        <v>44531</v>
      </c>
      <c r="B146" s="11">
        <v>15059.2</v>
      </c>
      <c r="C146" s="22" cm="1">
        <f t="array" ref="C146">IF(ROW()&lt;14,"",IFERROR(B146/INDEX($B:$B,ROW()-12)-1,""))</f>
        <v>7.36096159467301E-2</v>
      </c>
      <c r="D146" s="22" cm="1">
        <f t="array" ref="D146">IF(ROW()&lt;3,"NA",IFERROR(B146/INDEX($B:$B,ROW()-1)-1,"NA"))</f>
        <v>-3.7510171408913218E-3</v>
      </c>
      <c r="E146" s="22" cm="1">
        <f t="array" ref="E146">IF(ROW()&lt;5,"NA",IFERROR(B146/INDEX($B:$B,ROW()-3)-1,"NA"))</f>
        <v>4.5762010860139757E-3</v>
      </c>
      <c r="F146" s="23">
        <f t="shared" si="2"/>
        <v>0.90969753293587652</v>
      </c>
    </row>
    <row r="147" spans="1:6">
      <c r="A147" s="20">
        <v>44562</v>
      </c>
      <c r="B147" s="11">
        <v>15067.8</v>
      </c>
      <c r="C147" s="22" cm="1">
        <f t="array" ref="C147">IF(ROW()&lt;14,"",IFERROR(B147/INDEX($B:$B,ROW()-12)-1,""))</f>
        <v>6.076157891402123E-2</v>
      </c>
      <c r="D147" s="22" cm="1">
        <f t="array" ref="D147">IF(ROW()&lt;3,"NA",IFERROR(B147/INDEX($B:$B,ROW()-1)-1,"NA"))</f>
        <v>5.7107947301315853E-4</v>
      </c>
      <c r="E147" s="22" cm="1">
        <f t="array" ref="E147">IF(ROW()&lt;5,"NA",IFERROR(B147/INDEX($B:$B,ROW()-3)-1,"NA"))</f>
        <v>-1.1733121209108743E-3</v>
      </c>
      <c r="F147" s="23">
        <f t="shared" si="2"/>
        <v>0.91492580159936165</v>
      </c>
    </row>
    <row r="148" spans="1:6">
      <c r="A148" s="20">
        <v>44593</v>
      </c>
      <c r="B148" s="11">
        <v>15077.9</v>
      </c>
      <c r="C148" s="22" cm="1">
        <f t="array" ref="C148">IF(ROW()&lt;14,"",IFERROR(B148/INDEX($B:$B,ROW()-12)-1,""))</f>
        <v>7.1322500195394323E-2</v>
      </c>
      <c r="D148" s="22" cm="1">
        <f t="array" ref="D148">IF(ROW()&lt;3,"NA",IFERROR(B148/INDEX($B:$B,ROW()-1)-1,"NA"))</f>
        <v>6.7030356123654045E-4</v>
      </c>
      <c r="E148" s="22" cm="1">
        <f t="array" ref="E148">IF(ROW()&lt;5,"NA",IFERROR(B148/INDEX($B:$B,ROW()-3)-1,"NA"))</f>
        <v>-2.5139091949536452E-3</v>
      </c>
      <c r="F148" s="23">
        <f t="shared" si="2"/>
        <v>0.92106597758787445</v>
      </c>
    </row>
    <row r="149" spans="1:6">
      <c r="A149" s="20">
        <v>44621</v>
      </c>
      <c r="B149" s="11">
        <v>15156.8</v>
      </c>
      <c r="C149" s="22" cm="1">
        <f t="array" ref="C149">IF(ROW()&lt;14,"",IFERROR(B149/INDEX($B:$B,ROW()-12)-1,""))</f>
        <v>3.2479564032697583E-2</v>
      </c>
      <c r="D149" s="22" cm="1">
        <f t="array" ref="D149">IF(ROW()&lt;3,"NA",IFERROR(B149/INDEX($B:$B,ROW()-1)-1,"NA"))</f>
        <v>5.2328241996564273E-3</v>
      </c>
      <c r="E149" s="22" cm="1">
        <f t="array" ref="E149">IF(ROW()&lt;5,"NA",IFERROR(B149/INDEX($B:$B,ROW()-3)-1,"NA"))</f>
        <v>6.4810879728005588E-3</v>
      </c>
      <c r="F149" s="23">
        <f t="shared" si="2"/>
        <v>0.96903230288427489</v>
      </c>
    </row>
    <row r="150" spans="1:6">
      <c r="A150" s="20">
        <v>44652</v>
      </c>
      <c r="B150" s="11">
        <v>15235.4</v>
      </c>
      <c r="C150" s="22" cm="1">
        <f t="array" ref="C150">IF(ROW()&lt;14,"",IFERROR(B150/INDEX($B:$B,ROW()-12)-1,""))</f>
        <v>2.9697215463638793E-2</v>
      </c>
      <c r="D150" s="22" cm="1">
        <f t="array" ref="D150">IF(ROW()&lt;3,"NA",IFERROR(B150/INDEX($B:$B,ROW()-1)-1,"NA"))</f>
        <v>5.1857911960309089E-3</v>
      </c>
      <c r="E150" s="22" cm="1">
        <f t="array" ref="E150">IF(ROW()&lt;5,"NA",IFERROR(B150/INDEX($B:$B,ROW()-3)-1,"NA"))</f>
        <v>1.1123057115172807E-2</v>
      </c>
      <c r="F150" s="23">
        <f t="shared" si="2"/>
        <v>1.0168162467156703</v>
      </c>
    </row>
    <row r="151" spans="1:6">
      <c r="A151" s="20">
        <v>44682</v>
      </c>
      <c r="B151" s="11">
        <v>15214.1</v>
      </c>
      <c r="C151" s="22" cm="1">
        <f t="array" ref="C151">IF(ROW()&lt;14,"",IFERROR(B151/INDEX($B:$B,ROW()-12)-1,""))</f>
        <v>2.9970077311561649E-2</v>
      </c>
      <c r="D151" s="22" cm="1">
        <f t="array" ref="D151">IF(ROW()&lt;3,"NA",IFERROR(B151/INDEX($B:$B,ROW()-1)-1,"NA"))</f>
        <v>-1.3980597818238349E-3</v>
      </c>
      <c r="E151" s="22" cm="1">
        <f t="array" ref="E151">IF(ROW()&lt;5,"NA",IFERROR(B151/INDEX($B:$B,ROW()-3)-1,"NA"))</f>
        <v>9.0330881621445425E-3</v>
      </c>
      <c r="F151" s="23">
        <f t="shared" si="2"/>
        <v>1.0038671627002926</v>
      </c>
    </row>
    <row r="152" spans="1:6">
      <c r="A152" s="20">
        <v>44713</v>
      </c>
      <c r="B152" s="11">
        <v>15223.6</v>
      </c>
      <c r="C152" s="22" cm="1">
        <f t="array" ref="C152">IF(ROW()&lt;14,"",IFERROR(B152/INDEX($B:$B,ROW()-12)-1,""))</f>
        <v>2.2225803419147816E-2</v>
      </c>
      <c r="D152" s="22" cm="1">
        <f t="array" ref="D152">IF(ROW()&lt;3,"NA",IFERROR(B152/INDEX($B:$B,ROW()-1)-1,"NA"))</f>
        <v>6.2442076757740494E-4</v>
      </c>
      <c r="E152" s="22" cm="1">
        <f t="array" ref="E152">IF(ROW()&lt;5,"NA",IFERROR(B152/INDEX($B:$B,ROW()-3)-1,"NA"))</f>
        <v>4.4072627467539593E-3</v>
      </c>
      <c r="F152" s="23">
        <f t="shared" si="2"/>
        <v>1.0096425757587946</v>
      </c>
    </row>
    <row r="153" spans="1:6">
      <c r="A153" s="20">
        <v>44743</v>
      </c>
      <c r="B153" s="11">
        <v>15237.1</v>
      </c>
      <c r="C153" s="22" cm="1">
        <f t="array" ref="C153">IF(ROW()&lt;14,"",IFERROR(B153/INDEX($B:$B,ROW()-12)-1,""))</f>
        <v>2.4756204183199904E-2</v>
      </c>
      <c r="D153" s="22" cm="1">
        <f t="array" ref="D153">IF(ROW()&lt;3,"NA",IFERROR(B153/INDEX($B:$B,ROW()-1)-1,"NA"))</f>
        <v>8.8678105047423905E-4</v>
      </c>
      <c r="E153" s="22" cm="1">
        <f t="array" ref="E153">IF(ROW()&lt;5,"NA",IFERROR(B153/INDEX($B:$B,ROW()-3)-1,"NA"))</f>
        <v>1.1158223610796547E-4</v>
      </c>
      <c r="F153" s="23">
        <f t="shared" si="2"/>
        <v>1.0178497416840344</v>
      </c>
    </row>
    <row r="154" spans="1:6">
      <c r="A154" s="20">
        <v>44774</v>
      </c>
      <c r="B154" s="11">
        <v>15319.8</v>
      </c>
      <c r="C154" s="22" cm="1">
        <f t="array" ref="C154">IF(ROW()&lt;14,"",IFERROR(B154/INDEX($B:$B,ROW()-12)-1,""))</f>
        <v>2.3353061415344989E-2</v>
      </c>
      <c r="D154" s="22" cm="1">
        <f t="array" ref="D154">IF(ROW()&lt;3,"NA",IFERROR(B154/INDEX($B:$B,ROW()-1)-1,"NA"))</f>
        <v>5.427541986335882E-3</v>
      </c>
      <c r="E154" s="22" cm="1">
        <f t="array" ref="E154">IF(ROW()&lt;5,"NA",IFERROR(B154/INDEX($B:$B,ROW()-3)-1,"NA"))</f>
        <v>6.9475026455720901E-3</v>
      </c>
      <c r="F154" s="23">
        <f t="shared" si="2"/>
        <v>1.068126232203835</v>
      </c>
    </row>
    <row r="155" spans="1:6">
      <c r="A155" s="20">
        <v>44805</v>
      </c>
      <c r="B155" s="11">
        <v>15330.5</v>
      </c>
      <c r="C155" s="22" cm="1">
        <f t="array" ref="C155">IF(ROW()&lt;14,"",IFERROR(B155/INDEX($B:$B,ROW()-12)-1,""))</f>
        <v>2.2674209171080539E-2</v>
      </c>
      <c r="D155" s="22" cm="1">
        <f t="array" ref="D155">IF(ROW()&lt;3,"NA",IFERROR(B155/INDEX($B:$B,ROW()-1)-1,"NA"))</f>
        <v>6.9844253841444548E-4</v>
      </c>
      <c r="E155" s="22" cm="1">
        <f t="array" ref="E155">IF(ROW()&lt;5,"NA",IFERROR(B155/INDEX($B:$B,ROW()-3)-1,"NA"))</f>
        <v>7.0219921700518384E-3</v>
      </c>
      <c r="F155" s="23">
        <f t="shared" si="2"/>
        <v>1.0746311711223588</v>
      </c>
    </row>
    <row r="156" spans="1:6">
      <c r="A156" s="20">
        <v>44835</v>
      </c>
      <c r="B156" s="11">
        <v>15358.1</v>
      </c>
      <c r="C156" s="22" cm="1">
        <f t="array" ref="C156">IF(ROW()&lt;14,"",IFERROR(B156/INDEX($B:$B,ROW()-12)-1,""))</f>
        <v>1.8070332438434367E-2</v>
      </c>
      <c r="D156" s="22" cm="1">
        <f t="array" ref="D156">IF(ROW()&lt;3,"NA",IFERROR(B156/INDEX($B:$B,ROW()-1)-1,"NA"))</f>
        <v>1.8003326701674371E-3</v>
      </c>
      <c r="E156" s="22" cm="1">
        <f t="array" ref="E156">IF(ROW()&lt;5,"NA",IFERROR(B156/INDEX($B:$B,ROW()-3)-1,"NA"))</f>
        <v>7.9411436559451154E-3</v>
      </c>
      <c r="F156" s="23">
        <f t="shared" si="2"/>
        <v>1.0914102659028488</v>
      </c>
    </row>
    <row r="157" spans="1:6">
      <c r="A157" s="20">
        <v>44866</v>
      </c>
      <c r="B157" s="11">
        <v>15317.1</v>
      </c>
      <c r="C157" s="22" cm="1">
        <f t="array" ref="C157">IF(ROW()&lt;14,"",IFERROR(B157/INDEX($B:$B,ROW()-12)-1,""))</f>
        <v>1.3310487632228307E-2</v>
      </c>
      <c r="D157" s="22" cm="1">
        <f t="array" ref="D157">IF(ROW()&lt;3,"NA",IFERROR(B157/INDEX($B:$B,ROW()-1)-1,"NA"))</f>
        <v>-2.6696010574224216E-3</v>
      </c>
      <c r="E157" s="22" cm="1">
        <f t="array" ref="E157">IF(ROW()&lt;5,"NA",IFERROR(B157/INDEX($B:$B,ROW()-3)-1,"NA"))</f>
        <v>-1.762425096932807E-4</v>
      </c>
      <c r="F157" s="23">
        <f t="shared" si="2"/>
        <v>1.0664847990187878</v>
      </c>
    </row>
    <row r="158" spans="1:6">
      <c r="A158" s="20">
        <v>44896</v>
      </c>
      <c r="B158" s="11">
        <v>15303.6</v>
      </c>
      <c r="C158" s="22" cm="1">
        <f t="array" ref="C158">IF(ROW()&lt;14,"",IFERROR(B158/INDEX($B:$B,ROW()-12)-1,""))</f>
        <v>1.6229281767955683E-2</v>
      </c>
      <c r="D158" s="22" cm="1">
        <f t="array" ref="D158">IF(ROW()&lt;3,"NA",IFERROR(B158/INDEX($B:$B,ROW()-1)-1,"NA"))</f>
        <v>-8.8136788295434254E-4</v>
      </c>
      <c r="E158" s="22" cm="1">
        <f t="array" ref="E158">IF(ROW()&lt;5,"NA",IFERROR(B158/INDEX($B:$B,ROW()-3)-1,"NA"))</f>
        <v>-1.7546720589673992E-3</v>
      </c>
      <c r="F158" s="23">
        <f t="shared" si="2"/>
        <v>1.0582776330935482</v>
      </c>
    </row>
    <row r="159" spans="1:6">
      <c r="A159" s="20">
        <v>44927</v>
      </c>
      <c r="B159" s="11">
        <v>15501.5</v>
      </c>
      <c r="C159" s="22" cm="1">
        <f t="array" ref="C159">IF(ROW()&lt;14,"",IFERROR(B159/INDEX($B:$B,ROW()-12)-1,""))</f>
        <v>2.8783233119632712E-2</v>
      </c>
      <c r="D159" s="22" cm="1">
        <f t="array" ref="D159">IF(ROW()&lt;3,"NA",IFERROR(B159/INDEX($B:$B,ROW()-1)-1,"NA"))</f>
        <v>1.2931597793983007E-2</v>
      </c>
      <c r="E159" s="22" cm="1">
        <f t="array" ref="E159">IF(ROW()&lt;5,"NA",IFERROR(B159/INDEX($B:$B,ROW()-3)-1,"NA"))</f>
        <v>9.3370924788873655E-3</v>
      </c>
      <c r="F159" s="23">
        <f t="shared" si="2"/>
        <v>1.1785886061753943</v>
      </c>
    </row>
    <row r="160" spans="1:6">
      <c r="A160" s="20">
        <v>44958</v>
      </c>
      <c r="B160" s="11">
        <v>15491.8</v>
      </c>
      <c r="C160" s="22" cm="1">
        <f t="array" ref="C160">IF(ROW()&lt;14,"",IFERROR(B160/INDEX($B:$B,ROW()-12)-1,""))</f>
        <v>2.7450772322405559E-2</v>
      </c>
      <c r="D160" s="22" cm="1">
        <f t="array" ref="D160">IF(ROW()&lt;3,"NA",IFERROR(B160/INDEX($B:$B,ROW()-1)-1,"NA"))</f>
        <v>-6.2574589555852711E-4</v>
      </c>
      <c r="E160" s="22" cm="1">
        <f t="array" ref="E160">IF(ROW()&lt;5,"NA",IFERROR(B160/INDEX($B:$B,ROW()-3)-1,"NA"))</f>
        <v>1.1405553270527724E-2</v>
      </c>
      <c r="F160" s="23">
        <f t="shared" si="2"/>
        <v>1.172691605473555</v>
      </c>
    </row>
    <row r="161" spans="1:6">
      <c r="A161" s="20">
        <v>44986</v>
      </c>
      <c r="B161" s="11">
        <v>15494</v>
      </c>
      <c r="C161" s="22" cm="1">
        <f t="array" ref="C161">IF(ROW()&lt;14,"",IFERROR(B161/INDEX($B:$B,ROW()-12)-1,""))</f>
        <v>2.2247440092895587E-2</v>
      </c>
      <c r="D161" s="22" cm="1">
        <f t="array" ref="D161">IF(ROW()&lt;3,"NA",IFERROR(B161/INDEX($B:$B,ROW()-1)-1,"NA"))</f>
        <v>1.4201061206575716E-4</v>
      </c>
      <c r="E161" s="22" cm="1">
        <f t="array" ref="E161">IF(ROW()&lt;5,"NA",IFERROR(B161/INDEX($B:$B,ROW()-3)-1,"NA"))</f>
        <v>1.244151702867291E-2</v>
      </c>
      <c r="F161" s="23">
        <f t="shared" si="2"/>
        <v>1.1740290695502611</v>
      </c>
    </row>
    <row r="162" spans="1:6">
      <c r="A162" s="20">
        <v>45017</v>
      </c>
      <c r="B162" s="11">
        <v>15541.8</v>
      </c>
      <c r="C162" s="22" cm="1">
        <f t="array" ref="C162">IF(ROW()&lt;14,"",IFERROR(B162/INDEX($B:$B,ROW()-12)-1,""))</f>
        <v>2.0111057143232136E-2</v>
      </c>
      <c r="D162" s="22" cm="1">
        <f t="array" ref="D162">IF(ROW()&lt;3,"NA",IFERROR(B162/INDEX($B:$B,ROW()-1)-1,"NA"))</f>
        <v>3.0850651865237388E-3</v>
      </c>
      <c r="E162" s="22" cm="1">
        <f t="array" ref="E162">IF(ROW()&lt;5,"NA",IFERROR(B162/INDEX($B:$B,ROW()-3)-1,"NA"))</f>
        <v>2.5997484114439473E-3</v>
      </c>
      <c r="F162" s="23">
        <f t="shared" si="2"/>
        <v>1.203088516307776</v>
      </c>
    </row>
    <row r="163" spans="1:6">
      <c r="A163" s="20">
        <v>45047</v>
      </c>
      <c r="B163" s="11">
        <v>15535.2</v>
      </c>
      <c r="C163" s="22" cm="1">
        <f t="array" ref="C163">IF(ROW()&lt;14,"",IFERROR(B163/INDEX($B:$B,ROW()-12)-1,""))</f>
        <v>2.1105421944117575E-2</v>
      </c>
      <c r="D163" s="22" cm="1">
        <f t="array" ref="D163">IF(ROW()&lt;3,"NA",IFERROR(B163/INDEX($B:$B,ROW()-1)-1,"NA"))</f>
        <v>-4.2466123615014784E-4</v>
      </c>
      <c r="E163" s="22" cm="1">
        <f t="array" ref="E163">IF(ROW()&lt;5,"NA",IFERROR(B163/INDEX($B:$B,ROW()-3)-1,"NA"))</f>
        <v>2.8014820743877955E-3</v>
      </c>
      <c r="F163" s="23">
        <f t="shared" si="2"/>
        <v>1.1990761240776597</v>
      </c>
    </row>
    <row r="164" spans="1:6">
      <c r="A164" s="20">
        <v>45078</v>
      </c>
      <c r="B164" s="11">
        <v>15584.1</v>
      </c>
      <c r="C164" s="22" cm="1">
        <f t="array" ref="C164">IF(ROW()&lt;14,"",IFERROR(B164/INDEX($B:$B,ROW()-12)-1,""))</f>
        <v>2.3680338421923963E-2</v>
      </c>
      <c r="D164" s="22" cm="1">
        <f t="array" ref="D164">IF(ROW()&lt;3,"NA",IFERROR(B164/INDEX($B:$B,ROW()-1)-1,"NA"))</f>
        <v>3.1476904063030275E-3</v>
      </c>
      <c r="E164" s="22" cm="1">
        <f t="array" ref="E164">IF(ROW()&lt;5,"NA",IFERROR(B164/INDEX($B:$B,ROW()-3)-1,"NA"))</f>
        <v>5.8151542532594025E-3</v>
      </c>
      <c r="F164" s="23">
        <f t="shared" si="2"/>
        <v>1.2288043028735276</v>
      </c>
    </row>
    <row r="165" spans="1:6">
      <c r="A165" s="20">
        <v>45108</v>
      </c>
      <c r="B165" s="11">
        <v>15658.4</v>
      </c>
      <c r="C165" s="22" cm="1">
        <f t="array" ref="C165">IF(ROW()&lt;14,"",IFERROR(B165/INDEX($B:$B,ROW()-12)-1,""))</f>
        <v>2.7649618365699569E-2</v>
      </c>
      <c r="D165" s="22" cm="1">
        <f t="array" ref="D165">IF(ROW()&lt;3,"NA",IFERROR(B165/INDEX($B:$B,ROW()-1)-1,"NA"))</f>
        <v>4.7676798788507391E-3</v>
      </c>
      <c r="E165" s="22" cm="1">
        <f t="array" ref="E165">IF(ROW()&lt;5,"NA",IFERROR(B165/INDEX($B:$B,ROW()-3)-1,"NA"))</f>
        <v>7.5023485053211658E-3</v>
      </c>
      <c r="F165" s="23">
        <f t="shared" si="2"/>
        <v>1.2739741123731794</v>
      </c>
    </row>
    <row r="166" spans="1:6">
      <c r="A166" s="20">
        <v>45139</v>
      </c>
      <c r="B166" s="11">
        <v>15668.6</v>
      </c>
      <c r="C166" s="22" cm="1">
        <f t="array" ref="C166">IF(ROW()&lt;14,"",IFERROR(B166/INDEX($B:$B,ROW()-12)-1,""))</f>
        <v>2.2767921252235812E-2</v>
      </c>
      <c r="D166" s="22" cm="1">
        <f t="array" ref="D166">IF(ROW()&lt;3,"NA",IFERROR(B166/INDEX($B:$B,ROW()-1)-1,"NA"))</f>
        <v>6.5140755121850802E-4</v>
      </c>
      <c r="E166" s="22" cm="1">
        <f t="array" ref="E166">IF(ROW()&lt;5,"NA",IFERROR(B166/INDEX($B:$B,ROW()-3)-1,"NA"))</f>
        <v>8.5869509243523545E-3</v>
      </c>
      <c r="F166" s="23">
        <f t="shared" si="2"/>
        <v>1.2801750821833608</v>
      </c>
    </row>
    <row r="167" spans="1:6">
      <c r="A167" s="20">
        <v>45170</v>
      </c>
      <c r="B167" s="11">
        <v>15688.7</v>
      </c>
      <c r="C167" s="22" cm="1">
        <f t="array" ref="C167">IF(ROW()&lt;14,"",IFERROR(B167/INDEX($B:$B,ROW()-12)-1,""))</f>
        <v>2.3365187045432334E-2</v>
      </c>
      <c r="D167" s="22" cm="1">
        <f t="array" ref="D167">IF(ROW()&lt;3,"NA",IFERROR(B167/INDEX($B:$B,ROW()-1)-1,"NA"))</f>
        <v>1.2828204179058389E-3</v>
      </c>
      <c r="E167" s="22" cm="1">
        <f t="array" ref="E167">IF(ROW()&lt;5,"NA",IFERROR(B167/INDEX($B:$B,ROW()-3)-1,"NA"))</f>
        <v>6.7119692507107143E-3</v>
      </c>
      <c r="F167" s="23">
        <f t="shared" si="2"/>
        <v>1.2923946403387179</v>
      </c>
    </row>
    <row r="168" spans="1:6">
      <c r="A168" s="20">
        <v>45200</v>
      </c>
      <c r="B168" s="11">
        <v>15730.9</v>
      </c>
      <c r="C168" s="22" cm="1">
        <f t="array" ref="C168">IF(ROW()&lt;14,"",IFERROR(B168/INDEX($B:$B,ROW()-12)-1,""))</f>
        <v>2.427383595627064E-2</v>
      </c>
      <c r="D168" s="22" cm="1">
        <f t="array" ref="D168">IF(ROW()&lt;3,"NA",IFERROR(B168/INDEX($B:$B,ROW()-1)-1,"NA"))</f>
        <v>2.6898340844045965E-3</v>
      </c>
      <c r="E168" s="22" cm="1">
        <f t="array" ref="E168">IF(ROW()&lt;5,"NA",IFERROR(B168/INDEX($B:$B,ROW()-3)-1,"NA"))</f>
        <v>4.63010269248465E-3</v>
      </c>
      <c r="F168" s="23">
        <f t="shared" si="2"/>
        <v>1.3180496330827998</v>
      </c>
    </row>
    <row r="169" spans="1:6">
      <c r="A169" s="20">
        <v>45231</v>
      </c>
      <c r="B169" s="11">
        <v>15786.9</v>
      </c>
      <c r="C169" s="22" cm="1">
        <f t="array" ref="C169">IF(ROW()&lt;14,"",IFERROR(B169/INDEX($B:$B,ROW()-12)-1,""))</f>
        <v>3.0671602326811209E-2</v>
      </c>
      <c r="D169" s="22" cm="1">
        <f t="array" ref="D169">IF(ROW()&lt;3,"NA",IFERROR(B169/INDEX($B:$B,ROW()-1)-1,"NA"))</f>
        <v>3.5598726074159703E-3</v>
      </c>
      <c r="E169" s="22" cm="1">
        <f t="array" ref="E169">IF(ROW()&lt;5,"NA",IFERROR(B169/INDEX($B:$B,ROW()-3)-1,"NA"))</f>
        <v>7.5501321113564668E-3</v>
      </c>
      <c r="F169" s="23">
        <f t="shared" si="2"/>
        <v>1.3520941732171272</v>
      </c>
    </row>
    <row r="170" spans="1:6">
      <c r="A170" s="20">
        <v>45261</v>
      </c>
      <c r="B170" s="11">
        <v>15851.3</v>
      </c>
      <c r="C170" s="22" cm="1">
        <f t="array" ref="C170">IF(ROW()&lt;14,"",IFERROR(B170/INDEX($B:$B,ROW()-12)-1,""))</f>
        <v>3.5788964688047153E-2</v>
      </c>
      <c r="D170" s="22" cm="1">
        <f t="array" ref="D170">IF(ROW()&lt;3,"NA",IFERROR(B170/INDEX($B:$B,ROW()-1)-1,"NA"))</f>
        <v>4.0793315977170064E-3</v>
      </c>
      <c r="E170" s="22" cm="1">
        <f t="array" ref="E170">IF(ROW()&lt;5,"NA",IFERROR(B170/INDEX($B:$B,ROW()-3)-1,"NA"))</f>
        <v>1.036414744370151E-2</v>
      </c>
      <c r="F170" s="23">
        <f t="shared" si="2"/>
        <v>1.3912453943716034</v>
      </c>
    </row>
    <row r="171" spans="1:6">
      <c r="A171" s="20">
        <v>45292</v>
      </c>
      <c r="B171" s="11">
        <v>15793.7</v>
      </c>
      <c r="C171" s="22" cm="1">
        <f t="array" ref="C171">IF(ROW()&lt;14,"",IFERROR(B171/INDEX($B:$B,ROW()-12)-1,""))</f>
        <v>1.8849788730122885E-2</v>
      </c>
      <c r="D171" s="22" cm="1">
        <f t="array" ref="D171">IF(ROW()&lt;3,"NA",IFERROR(B171/INDEX($B:$B,ROW()-1)-1,"NA"))</f>
        <v>-3.6337713626011237E-3</v>
      </c>
      <c r="E171" s="22" cm="1">
        <f t="array" ref="E171">IF(ROW()&lt;5,"NA",IFERROR(B171/INDEX($B:$B,ROW()-3)-1,"NA"))</f>
        <v>3.9921428526021874E-3</v>
      </c>
      <c r="F171" s="23">
        <f t="shared" si="2"/>
        <v>1.3562281530905818</v>
      </c>
    </row>
    <row r="172" spans="1:6">
      <c r="A172" s="20">
        <v>45323</v>
      </c>
      <c r="B172" s="11">
        <v>15863.1</v>
      </c>
      <c r="C172" s="22" cm="1">
        <f t="array" ref="C172">IF(ROW()&lt;14,"",IFERROR(B172/INDEX($B:$B,ROW()-12)-1,""))</f>
        <v>2.3967518300003876E-2</v>
      </c>
      <c r="D172" s="22" cm="1">
        <f t="array" ref="D172">IF(ROW()&lt;3,"NA",IFERROR(B172/INDEX($B:$B,ROW()-1)-1,"NA"))</f>
        <v>4.3941571639323218E-3</v>
      </c>
      <c r="E172" s="22" cm="1">
        <f t="array" ref="E172">IF(ROW()&lt;5,"NA",IFERROR(B172/INDEX($B:$B,ROW()-3)-1,"NA"))</f>
        <v>4.8267867662430408E-3</v>
      </c>
      <c r="F172" s="23">
        <f t="shared" si="2"/>
        <v>1.3984190653284803</v>
      </c>
    </row>
    <row r="173" spans="1:6">
      <c r="A173" s="20">
        <v>45352</v>
      </c>
      <c r="B173" s="11">
        <v>15916.3</v>
      </c>
      <c r="C173" s="22" cm="1">
        <f t="array" ref="C173">IF(ROW()&lt;14,"",IFERROR(B173/INDEX($B:$B,ROW()-12)-1,""))</f>
        <v>2.7255711888472867E-2</v>
      </c>
      <c r="D173" s="22" cm="1">
        <f t="array" ref="D173">IF(ROW()&lt;3,"NA",IFERROR(B173/INDEX($B:$B,ROW()-1)-1,"NA"))</f>
        <v>3.3536950532997434E-3</v>
      </c>
      <c r="E173" s="22" cm="1">
        <f t="array" ref="E173">IF(ROW()&lt;5,"NA",IFERROR(B173/INDEX($B:$B,ROW()-3)-1,"NA"))</f>
        <v>4.1006100446019378E-3</v>
      </c>
      <c r="F173" s="23">
        <f t="shared" si="2"/>
        <v>1.4307613784560906</v>
      </c>
    </row>
    <row r="174" spans="1:6">
      <c r="A174" s="20">
        <v>45383</v>
      </c>
      <c r="B174" s="11">
        <v>15945.2</v>
      </c>
      <c r="C174" s="22" cm="1">
        <f t="array" ref="C174">IF(ROW()&lt;14,"",IFERROR(B174/INDEX($B:$B,ROW()-12)-1,""))</f>
        <v>2.5955809494395909E-2</v>
      </c>
      <c r="D174" s="22" cm="1">
        <f t="array" ref="D174">IF(ROW()&lt;3,"NA",IFERROR(B174/INDEX($B:$B,ROW()-1)-1,"NA"))</f>
        <v>1.8157486350471874E-3</v>
      </c>
      <c r="E174" s="22" cm="1">
        <f t="array" ref="E174">IF(ROW()&lt;5,"NA",IFERROR(B174/INDEX($B:$B,ROW()-3)-1,"NA"))</f>
        <v>9.5924324255873827E-3</v>
      </c>
      <c r="F174" s="23">
        <f t="shared" si="2"/>
        <v>1.4483307929182712</v>
      </c>
    </row>
    <row r="175" spans="1:6">
      <c r="A175" s="20">
        <v>45413</v>
      </c>
      <c r="B175" s="11">
        <v>16019.2</v>
      </c>
      <c r="C175" s="22" cm="1">
        <f t="array" ref="C175">IF(ROW()&lt;14,"",IFERROR(B175/INDEX($B:$B,ROW()-12)-1,""))</f>
        <v>3.1155054328235288E-2</v>
      </c>
      <c r="D175" s="22" cm="1">
        <f t="array" ref="D175">IF(ROW()&lt;3,"NA",IFERROR(B175/INDEX($B:$B,ROW()-1)-1,"NA"))</f>
        <v>4.6408950655996151E-3</v>
      </c>
      <c r="E175" s="22" cm="1">
        <f t="array" ref="E175">IF(ROW()&lt;5,"NA",IFERROR(B175/INDEX($B:$B,ROW()-3)-1,"NA"))</f>
        <v>9.8404473274453785E-3</v>
      </c>
      <c r="F175" s="23">
        <f t="shared" si="2"/>
        <v>1.4933182209529181</v>
      </c>
    </row>
    <row r="176" spans="1:6">
      <c r="A176" s="20">
        <v>45444</v>
      </c>
      <c r="B176" s="11">
        <v>16064.4</v>
      </c>
      <c r="C176" s="22" cm="1">
        <f t="array" ref="C176">IF(ROW()&lt;14,"",IFERROR(B176/INDEX($B:$B,ROW()-12)-1,""))</f>
        <v>3.0819874102450573E-2</v>
      </c>
      <c r="D176" s="22" cm="1">
        <f t="array" ref="D176">IF(ROW()&lt;3,"NA",IFERROR(B176/INDEX($B:$B,ROW()-1)-1,"NA"))</f>
        <v>2.8216140631240894E-3</v>
      </c>
      <c r="E176" s="22" cm="1">
        <f t="array" ref="E176">IF(ROW()&lt;5,"NA",IFERROR(B176/INDEX($B:$B,ROW()-3)-1,"NA"))</f>
        <v>9.3049263962101669E-3</v>
      </c>
      <c r="F176" s="23">
        <f t="shared" si="2"/>
        <v>1.5207970283470533</v>
      </c>
    </row>
    <row r="177" spans="1:6">
      <c r="A177" s="20">
        <v>45474</v>
      </c>
      <c r="B177" s="11">
        <v>16123.8</v>
      </c>
      <c r="C177" s="22" cm="1">
        <f t="array" ref="C177">IF(ROW()&lt;14,"",IFERROR(B177/INDEX($B:$B,ROW()-12)-1,""))</f>
        <v>2.9722066111480094E-2</v>
      </c>
      <c r="D177" s="22" cm="1">
        <f t="array" ref="D177">IF(ROW()&lt;3,"NA",IFERROR(B177/INDEX($B:$B,ROW()-1)-1,"NA"))</f>
        <v>3.697617091207972E-3</v>
      </c>
      <c r="E177" s="22" cm="1">
        <f t="array" ref="E177">IF(ROW()&lt;5,"NA",IFERROR(B177/INDEX($B:$B,ROW()-3)-1,"NA"))</f>
        <v>1.1200862955622837E-2</v>
      </c>
      <c r="F177" s="23">
        <f t="shared" si="2"/>
        <v>1.5569085584181075</v>
      </c>
    </row>
    <row r="178" spans="1:6">
      <c r="A178" s="20">
        <v>45505</v>
      </c>
      <c r="B178" s="11">
        <v>16145.7</v>
      </c>
      <c r="C178" s="22" cm="1">
        <f t="array" ref="C178">IF(ROW()&lt;14,"",IFERROR(B178/INDEX($B:$B,ROW()-12)-1,""))</f>
        <v>3.0449433899646383E-2</v>
      </c>
      <c r="D178" s="22" cm="1">
        <f t="array" ref="D178">IF(ROW()&lt;3,"NA",IFERROR(B178/INDEX($B:$B,ROW()-1)-1,"NA"))</f>
        <v>1.3582406132550684E-3</v>
      </c>
      <c r="E178" s="22" cm="1">
        <f t="array" ref="E178">IF(ROW()&lt;5,"NA",IFERROR(B178/INDEX($B:$B,ROW()-3)-1,"NA"))</f>
        <v>7.8967738713544566E-3</v>
      </c>
      <c r="F178" s="23">
        <f t="shared" si="2"/>
        <v>1.570222405363497</v>
      </c>
    </row>
    <row r="179" spans="1:6">
      <c r="A179" s="20">
        <v>45536</v>
      </c>
      <c r="B179" s="11">
        <v>16227.8</v>
      </c>
      <c r="C179" s="22" cm="1">
        <f t="array" ref="C179">IF(ROW()&lt;14,"",IFERROR(B179/INDEX($B:$B,ROW()-12)-1,""))</f>
        <v>3.4362311727549111E-2</v>
      </c>
      <c r="D179" s="22" cm="1">
        <f t="array" ref="D179">IF(ROW()&lt;3,"NA",IFERROR(B179/INDEX($B:$B,ROW()-1)-1,"NA"))</f>
        <v>5.0849452176120469E-3</v>
      </c>
      <c r="E179" s="22" cm="1">
        <f t="array" ref="E179">IF(ROW()&lt;5,"NA",IFERROR(B179/INDEX($B:$B,ROW()-3)-1,"NA"))</f>
        <v>1.017155947312065E-2</v>
      </c>
      <c r="F179" s="23">
        <f t="shared" si="2"/>
        <v>1.620134132953287</v>
      </c>
    </row>
    <row r="180" spans="1:6">
      <c r="A180" s="20">
        <v>45566</v>
      </c>
      <c r="B180" s="11">
        <v>16247.7</v>
      </c>
      <c r="C180" s="22" cm="1">
        <f t="array" ref="C180">IF(ROW()&lt;14,"",IFERROR(B180/INDEX($B:$B,ROW()-12)-1,""))</f>
        <v>3.2852538634153161E-2</v>
      </c>
      <c r="D180" s="22" cm="1">
        <f t="array" ref="D180">IF(ROW()&lt;3,"NA",IFERROR(B180/INDEX($B:$B,ROW()-1)-1,"NA"))</f>
        <v>1.2262906863531597E-3</v>
      </c>
      <c r="E180" s="22" cm="1">
        <f t="array" ref="E180">IF(ROW()&lt;5,"NA",IFERROR(B180/INDEX($B:$B,ROW()-3)-1,"NA"))</f>
        <v>7.6842927845794939E-3</v>
      </c>
      <c r="F180" s="23">
        <f t="shared" si="2"/>
        <v>1.6322321034653078</v>
      </c>
    </row>
    <row r="181" spans="1:6">
      <c r="A181" s="20">
        <v>45597</v>
      </c>
      <c r="B181" s="11">
        <v>16299.5</v>
      </c>
      <c r="C181" s="22" cm="1">
        <f t="array" ref="C181">IF(ROW()&lt;14,"",IFERROR(B181/INDEX($B:$B,ROW()-12)-1,""))</f>
        <v>3.2469959270027715E-2</v>
      </c>
      <c r="D181" s="22" cm="1">
        <f t="array" ref="D181">IF(ROW()&lt;3,"NA",IFERROR(B181/INDEX($B:$B,ROW()-1)-1,"NA"))</f>
        <v>3.1881435526257551E-3</v>
      </c>
      <c r="E181" s="22" cm="1">
        <f t="array" ref="E181">IF(ROW()&lt;5,"NA",IFERROR(B181/INDEX($B:$B,ROW()-3)-1,"NA"))</f>
        <v>9.5257560836630173E-3</v>
      </c>
      <c r="F181" s="23">
        <f t="shared" si="2"/>
        <v>1.6637233030895602</v>
      </c>
    </row>
    <row r="182" spans="1:6">
      <c r="A182" s="20">
        <v>45627</v>
      </c>
      <c r="B182" s="11">
        <v>16415.5</v>
      </c>
      <c r="C182" s="22" cm="1">
        <f t="array" ref="C182">IF(ROW()&lt;14,"",IFERROR(B182/INDEX($B:$B,ROW()-12)-1,""))</f>
        <v>3.5593295187145602E-2</v>
      </c>
      <c r="D182" s="22" cm="1">
        <f t="array" ref="D182">IF(ROW()&lt;3,"NA",IFERROR(B182/INDEX($B:$B,ROW()-1)-1,"NA"))</f>
        <v>7.116782723396442E-3</v>
      </c>
      <c r="E182" s="22" cm="1">
        <f t="array" ref="E182">IF(ROW()&lt;5,"NA",IFERROR(B182/INDEX($B:$B,ROW()-3)-1,"NA"))</f>
        <v>1.1566570946154098E-2</v>
      </c>
      <c r="F182" s="23">
        <f t="shared" si="2"/>
        <v>1.7342441362249528</v>
      </c>
    </row>
    <row r="183" spans="1:6">
      <c r="A183" s="20">
        <v>45658</v>
      </c>
      <c r="B183" s="11">
        <v>16316.5</v>
      </c>
      <c r="C183" s="22" cm="1">
        <f t="array" ref="C183">IF(ROW()&lt;14,"",IFERROR(B183/INDEX($B:$B,ROW()-12)-1,""))</f>
        <v>3.3101806416482527E-2</v>
      </c>
      <c r="D183" s="22" cm="1">
        <f t="array" ref="D183">IF(ROW()&lt;3,"NA",IFERROR(B183/INDEX($B:$B,ROW()-1)-1,"NA"))</f>
        <v>-6.0308854436356141E-3</v>
      </c>
      <c r="E183" s="22" cm="1">
        <f t="array" ref="E183">IF(ROW()&lt;5,"NA",IFERROR(B183/INDEX($B:$B,ROW()-3)-1,"NA"))</f>
        <v>4.2344454907463636E-3</v>
      </c>
      <c r="F183" s="23">
        <f t="shared" si="2"/>
        <v>1.6740582527731953</v>
      </c>
    </row>
    <row r="184" spans="1:6">
      <c r="A184" s="20">
        <v>45689</v>
      </c>
      <c r="B184" s="11">
        <v>16297</v>
      </c>
      <c r="C184" s="22" cm="1">
        <f t="array" ref="C184">IF(ROW()&lt;14,"",IFERROR(B184/INDEX($B:$B,ROW()-12)-1,""))</f>
        <v>2.7352787286217595E-2</v>
      </c>
      <c r="D184" s="22" cm="1">
        <f t="array" ref="D184">IF(ROW()&lt;3,"NA",IFERROR(B184/INDEX($B:$B,ROW()-1)-1,"NA"))</f>
        <v>-1.195109245242576E-3</v>
      </c>
      <c r="E184" s="22" cm="1">
        <f t="array" ref="E184">IF(ROW()&lt;5,"NA",IFERROR(B184/INDEX($B:$B,ROW()-3)-1,"NA"))</f>
        <v>-1.5337893800426716E-4</v>
      </c>
      <c r="F184" s="23">
        <f t="shared" si="2"/>
        <v>1.6622034575478493</v>
      </c>
    </row>
    <row r="185" spans="1:6">
      <c r="A185" s="20">
        <v>45717</v>
      </c>
      <c r="B185" s="11">
        <v>16423.900000000001</v>
      </c>
      <c r="C185" s="22" cm="1">
        <f t="array" ref="C185">IF(ROW()&lt;14,"",IFERROR(B185/INDEX($B:$B,ROW()-12)-1,""))</f>
        <v>3.1891834157436127E-2</v>
      </c>
      <c r="D185" s="22" cm="1">
        <f t="array" ref="D185">IF(ROW()&lt;3,"NA",IFERROR(B185/INDEX($B:$B,ROW()-1)-1,"NA"))</f>
        <v>7.7867092102841262E-3</v>
      </c>
      <c r="E185" s="22" cm="1">
        <f t="array" ref="E185">IF(ROW()&lt;5,"NA",IFERROR(B185/INDEX($B:$B,ROW()-3)-1,"NA"))</f>
        <v>5.1171149218731671E-4</v>
      </c>
      <c r="F185" s="23">
        <f t="shared" si="2"/>
        <v>1.7393508172451027</v>
      </c>
    </row>
    <row r="186" spans="1:6">
      <c r="A186" s="20">
        <v>45748</v>
      </c>
      <c r="B186" s="11">
        <v>16446.900000000001</v>
      </c>
      <c r="C186" s="22" cm="1">
        <f t="array" ref="C186">IF(ROW()&lt;14,"",IFERROR(B186/INDEX($B:$B,ROW()-12)-1,""))</f>
        <v>3.1464014248802297E-2</v>
      </c>
      <c r="D186" s="22" cm="1">
        <f t="array" ref="D186">IF(ROW()&lt;3,"NA",IFERROR(B186/INDEX($B:$B,ROW()-1)-1,"NA"))</f>
        <v>1.4003982001837834E-3</v>
      </c>
      <c r="E186" s="22" cm="1">
        <f t="array" ref="E186">IF(ROW()&lt;5,"NA",IFERROR(B186/INDEX($B:$B,ROW()-3)-1,"NA"))</f>
        <v>7.9919100297245471E-3</v>
      </c>
      <c r="F186" s="23">
        <f t="shared" si="2"/>
        <v>1.7533333962288444</v>
      </c>
    </row>
    <row r="187" spans="1:6">
      <c r="A187" s="20">
        <v>45778</v>
      </c>
      <c r="B187" s="11">
        <v>16423.900000000001</v>
      </c>
      <c r="C187" s="22" cm="1">
        <f t="array" ref="C187">IF(ROW()&lt;14,"",IFERROR(B187/INDEX($B:$B,ROW()-12)-1,""))</f>
        <v>2.5263433879344932E-2</v>
      </c>
      <c r="D187" s="22" cm="1">
        <f t="array" ref="D187">IF(ROW()&lt;3,"NA",IFERROR(B187/INDEX($B:$B,ROW()-1)-1,"NA"))</f>
        <v>-1.3984398275662668E-3</v>
      </c>
      <c r="E187" s="22" cm="1">
        <f t="array" ref="E187">IF(ROW()&lt;5,"NA",IFERROR(B187/INDEX($B:$B,ROW()-3)-1,"NA"))</f>
        <v>7.7867092102841262E-3</v>
      </c>
      <c r="F187" s="23">
        <f t="shared" si="2"/>
        <v>1.7393508172451027</v>
      </c>
    </row>
    <row r="188" spans="1:6">
      <c r="A188" s="20">
        <v>45809</v>
      </c>
      <c r="B188" s="11">
        <v>16466.3</v>
      </c>
      <c r="C188" s="22" cm="1">
        <f t="array" ref="C188">IF(ROW()&lt;14,"",IFERROR(B188/INDEX($B:$B,ROW()-12)-1,""))</f>
        <v>2.5018052339334185E-2</v>
      </c>
      <c r="D188" s="22" cm="1">
        <f t="array" ref="D188">IF(ROW()&lt;3,"NA",IFERROR(B188/INDEX($B:$B,ROW()-1)-1,"NA"))</f>
        <v>2.5816036385997165E-3</v>
      </c>
      <c r="E188" s="22" cm="1">
        <f t="array" ref="E188">IF(ROW()&lt;5,"NA",IFERROR(B188/INDEX($B:$B,ROW()-3)-1,"NA"))</f>
        <v>2.5816036385997165E-3</v>
      </c>
      <c r="F188" s="23">
        <f t="shared" si="2"/>
        <v>1.7651273976325208</v>
      </c>
    </row>
    <row r="189" spans="1:6">
      <c r="A189" s="20">
        <v>45839</v>
      </c>
      <c r="B189" s="11">
        <v>16547.5</v>
      </c>
      <c r="C189" s="22" cm="1">
        <f t="array" ref="C189">IF(ROW()&lt;14,"",IFERROR(B189/INDEX($B:$B,ROW()-12)-1,""))</f>
        <v>2.6277924558726795E-2</v>
      </c>
      <c r="D189" s="22" cm="1">
        <f t="array" ref="D189">IF(ROW()&lt;3,"NA",IFERROR(B189/INDEX($B:$B,ROW()-1)-1,"NA"))</f>
        <v>4.9312838949855387E-3</v>
      </c>
      <c r="E189" s="22" cm="1">
        <f t="array" ref="E189">IF(ROW()&lt;5,"NA",IFERROR(B189/INDEX($B:$B,ROW()-3)-1,"NA"))</f>
        <v>6.1166542023116666E-3</v>
      </c>
      <c r="F189" s="23">
        <f t="shared" si="2"/>
        <v>1.8144919808272959</v>
      </c>
    </row>
    <row r="190" spans="1:6">
      <c r="A190" s="20">
        <v>45870</v>
      </c>
      <c r="B190" s="11">
        <v>16595.8</v>
      </c>
      <c r="C190" s="22" cm="1">
        <f t="array" ref="C190">IF(ROW()&lt;14,"",IFERROR(B190/INDEX($B:$B,ROW()-12)-1,""))</f>
        <v>2.7877391503620119E-2</v>
      </c>
      <c r="D190" s="22" cm="1">
        <f t="array" ref="D190">IF(ROW()&lt;3,"NA",IFERROR(B190/INDEX($B:$B,ROW()-1)-1,"NA"))</f>
        <v>2.9188699199274026E-3</v>
      </c>
      <c r="E190" s="22" cm="1">
        <f t="array" ref="E190">IF(ROW()&lt;5,"NA",IFERROR(B190/INDEX($B:$B,ROW()-3)-1,"NA"))</f>
        <v>1.0466454374417733E-2</v>
      </c>
      <c r="F190" s="23">
        <f t="shared" si="2"/>
        <v>1.843855396693153</v>
      </c>
    </row>
    <row r="191" spans="1:6">
      <c r="A191" s="20">
        <v>45901</v>
      </c>
      <c r="B191" s="11">
        <v>16614.3</v>
      </c>
      <c r="C191" s="22" cm="1">
        <f t="array" ref="C191">IF(ROW()&lt;14,"",IFERROR(B191/INDEX($B:$B,ROW()-12)-1,""))</f>
        <v>2.381715328017342E-2</v>
      </c>
      <c r="D191" s="22" cm="1">
        <f t="array" ref="D191">IF(ROW()&lt;3,"NA",IFERROR(B191/INDEX($B:$B,ROW()-1)-1,"NA"))</f>
        <v>1.1147398739439485E-3</v>
      </c>
      <c r="E191" s="22" cm="1">
        <f t="array" ref="E191">IF(ROW()&lt;5,"NA",IFERROR(B191/INDEX($B:$B,ROW()-3)-1,"NA"))</f>
        <v>8.9880543898750442E-3</v>
      </c>
      <c r="F191" s="23">
        <f t="shared" si="2"/>
        <v>1.8551022537018147</v>
      </c>
    </row>
    <row r="192" spans="1:6">
      <c r="A192" s="20">
        <v>45931</v>
      </c>
      <c r="B192" s="11">
        <v>16659.900000000001</v>
      </c>
      <c r="C192" s="22" cm="1">
        <f t="array" ref="C192">IF(ROW()&lt;14,"",IFERROR(B192/INDEX($B:$B,ROW()-12)-1,""))</f>
        <v>2.5369744640779901E-2</v>
      </c>
      <c r="D192" s="22" cm="1">
        <f t="array" ref="D192">IF(ROW()&lt;3,"NA",IFERROR(B192/INDEX($B:$B,ROW()-1)-1,"NA"))</f>
        <v>2.7446236073744856E-3</v>
      </c>
      <c r="E192" s="22" cm="1">
        <f t="array" ref="E192">IF(ROW()&lt;5,"NA",IFERROR(B192/INDEX($B:$B,ROW()-3)-1,"NA"))</f>
        <v>6.7925668529991157E-3</v>
      </c>
      <c r="F192" s="23">
        <f t="shared" si="2"/>
        <v>1.8828242363826255</v>
      </c>
    </row>
    <row r="193" spans="1:6">
      <c r="A193" s="20">
        <v>45962</v>
      </c>
      <c r="B193" s="11">
        <v>16688</v>
      </c>
      <c r="C193" s="22" cm="1">
        <f t="array" ref="C193">IF(ROW()&lt;14,"",IFERROR(B193/INDEX($B:$B,ROW()-12)-1,""))</f>
        <v>2.3835086965857899E-2</v>
      </c>
      <c r="D193" s="22" cm="1">
        <f t="array" ref="D193">IF(ROW()&lt;3,"NA",IFERROR(B193/INDEX($B:$B,ROW()-1)-1,"NA"))</f>
        <v>1.6866847940262275E-3</v>
      </c>
      <c r="E193" s="22" cm="1">
        <f t="array" ref="E193">IF(ROW()&lt;5,"NA",IFERROR(B193/INDEX($B:$B,ROW()-3)-1,"NA"))</f>
        <v>5.5556225068993381E-3</v>
      </c>
      <c r="F193" s="23">
        <f t="shared" si="2"/>
        <v>1.8999073002714568</v>
      </c>
    </row>
    <row r="194" spans="1:6">
      <c r="A194" s="20">
        <v>45992</v>
      </c>
      <c r="B194" s="11">
        <v>16699.5</v>
      </c>
      <c r="C194" s="22" cm="1">
        <f t="array" ref="C194">IF(ROW()&lt;14,"",IFERROR(B194/INDEX($B:$B,ROW()-12)-1,""))</f>
        <v>1.7300721878712233E-2</v>
      </c>
      <c r="D194" s="22" cm="1">
        <f t="array" ref="D194">IF(ROW()&lt;3,"NA",IFERROR(B194/INDEX($B:$B,ROW()-1)-1,"NA"))</f>
        <v>6.8911792905090863E-4</v>
      </c>
      <c r="E194" s="22" cm="1">
        <f t="array" ref="E194">IF(ROW()&lt;5,"NA",IFERROR(B194/INDEX($B:$B,ROW()-3)-1,"NA"))</f>
        <v>5.1281125295679075E-3</v>
      </c>
      <c r="F194" s="23">
        <f t="shared" si="2"/>
        <v>1.9068985897633275</v>
      </c>
    </row>
    <row r="195" spans="1:6">
      <c r="A195" s="20">
        <v>46023</v>
      </c>
      <c r="B195" s="11"/>
      <c r="C195" s="22"/>
      <c r="D195" s="22"/>
      <c r="E195" s="22"/>
      <c r="F195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2F1A-2588-4C33-A2B2-0DC9779AD406}">
  <dimension ref="A1:B60"/>
  <sheetViews>
    <sheetView workbookViewId="0"/>
  </sheetViews>
  <sheetFormatPr defaultRowHeight="15"/>
  <cols>
    <col min="1" max="1" width="14" bestFit="1" customWidth="1"/>
    <col min="2" max="2" width="8.42578125" bestFit="1" customWidth="1"/>
  </cols>
  <sheetData>
    <row r="1" spans="1:2">
      <c r="A1" t="s">
        <v>52</v>
      </c>
    </row>
    <row r="2" spans="1:2">
      <c r="A2" s="1" t="s">
        <v>28</v>
      </c>
      <c r="B2" s="1" t="s">
        <v>53</v>
      </c>
    </row>
    <row r="3" spans="1:2">
      <c r="A3" s="2">
        <v>40725</v>
      </c>
      <c r="B3" s="11">
        <v>3.2444999999999999</v>
      </c>
    </row>
    <row r="4" spans="1:2">
      <c r="A4" s="2">
        <v>40817</v>
      </c>
      <c r="B4" s="11">
        <v>5.1684000000000001</v>
      </c>
    </row>
    <row r="5" spans="1:2">
      <c r="A5" s="2">
        <v>40909</v>
      </c>
      <c r="B5" s="11">
        <v>3.0150999999999999</v>
      </c>
    </row>
    <row r="6" spans="1:2">
      <c r="A6" s="2">
        <v>41000</v>
      </c>
      <c r="B6" s="11">
        <v>0.2243</v>
      </c>
    </row>
    <row r="7" spans="1:2">
      <c r="A7" s="2">
        <v>41091</v>
      </c>
      <c r="B7" s="11">
        <v>1.849</v>
      </c>
    </row>
    <row r="8" spans="1:2">
      <c r="A8" s="2">
        <v>41183</v>
      </c>
      <c r="B8" s="11">
        <v>7.7600000000000002E-2</v>
      </c>
    </row>
    <row r="9" spans="1:2">
      <c r="A9" s="2">
        <v>41275</v>
      </c>
      <c r="B9" s="11">
        <v>2.8717999999999999</v>
      </c>
    </row>
    <row r="10" spans="1:2">
      <c r="A10" s="2">
        <v>41365</v>
      </c>
      <c r="B10" s="11">
        <v>1.3</v>
      </c>
    </row>
    <row r="11" spans="1:2">
      <c r="A11" s="2">
        <v>41456</v>
      </c>
      <c r="B11" s="11">
        <v>2.3233000000000001</v>
      </c>
    </row>
    <row r="12" spans="1:2">
      <c r="A12" s="2">
        <v>41548</v>
      </c>
      <c r="B12" s="11">
        <v>3.1248999999999998</v>
      </c>
    </row>
    <row r="13" spans="1:2">
      <c r="A13" s="2">
        <v>41640</v>
      </c>
      <c r="B13" s="11">
        <v>0.34889999999999999</v>
      </c>
    </row>
    <row r="14" spans="1:2">
      <c r="A14" s="2">
        <v>41730</v>
      </c>
      <c r="B14" s="11">
        <v>2.6665999999999999</v>
      </c>
    </row>
    <row r="15" spans="1:2">
      <c r="A15" s="2">
        <v>41821</v>
      </c>
      <c r="B15" s="11">
        <v>2.6999</v>
      </c>
    </row>
    <row r="16" spans="1:2">
      <c r="A16" s="2">
        <v>41913</v>
      </c>
      <c r="B16" s="11">
        <v>3.4918</v>
      </c>
    </row>
    <row r="17" spans="1:2">
      <c r="A17" s="2">
        <v>42005</v>
      </c>
      <c r="B17" s="11">
        <v>9.8799999999999999E-2</v>
      </c>
    </row>
    <row r="18" spans="1:2">
      <c r="A18" s="2">
        <v>42095</v>
      </c>
      <c r="B18" s="11">
        <v>2.4327999999999999</v>
      </c>
    </row>
    <row r="19" spans="1:2">
      <c r="A19" s="2">
        <v>42186</v>
      </c>
      <c r="B19" s="11">
        <v>1.0637000000000001</v>
      </c>
    </row>
    <row r="20" spans="1:2">
      <c r="A20" s="2">
        <v>42278</v>
      </c>
      <c r="B20" s="11">
        <v>1.0179</v>
      </c>
    </row>
    <row r="21" spans="1:2">
      <c r="A21" s="2">
        <v>42370</v>
      </c>
      <c r="B21" s="11">
        <v>0.62090000000000001</v>
      </c>
    </row>
    <row r="22" spans="1:2">
      <c r="A22" s="2">
        <v>42461</v>
      </c>
      <c r="B22" s="11">
        <v>1.8332999999999999</v>
      </c>
    </row>
    <row r="23" spans="1:2">
      <c r="A23" s="2">
        <v>42552</v>
      </c>
      <c r="B23" s="11">
        <v>2.0952999999999999</v>
      </c>
    </row>
    <row r="24" spans="1:2">
      <c r="A24" s="2">
        <v>42644</v>
      </c>
      <c r="B24" s="11">
        <v>2.8814000000000002</v>
      </c>
    </row>
    <row r="25" spans="1:2">
      <c r="A25" s="2">
        <v>42736</v>
      </c>
      <c r="B25" s="11">
        <v>0.1699</v>
      </c>
    </row>
    <row r="26" spans="1:2">
      <c r="A26" s="2">
        <v>42826</v>
      </c>
      <c r="B26" s="11">
        <v>2.8193999999999999</v>
      </c>
    </row>
    <row r="27" spans="1:2">
      <c r="A27" s="2">
        <v>42917</v>
      </c>
      <c r="B27" s="11">
        <v>2.7181999999999999</v>
      </c>
    </row>
    <row r="28" spans="1:2">
      <c r="A28" s="2">
        <v>43009</v>
      </c>
      <c r="B28" s="11">
        <v>3.4060000000000001</v>
      </c>
    </row>
    <row r="29" spans="1:2">
      <c r="A29" s="2">
        <v>43101</v>
      </c>
      <c r="B29" s="11">
        <v>1.9834000000000001</v>
      </c>
    </row>
    <row r="30" spans="1:2">
      <c r="A30" s="2">
        <v>43191</v>
      </c>
      <c r="B30" s="11">
        <v>3.8224999999999998</v>
      </c>
    </row>
    <row r="31" spans="1:2">
      <c r="A31" s="2">
        <v>43282</v>
      </c>
      <c r="B31" s="11">
        <v>3.5537000000000001</v>
      </c>
    </row>
    <row r="32" spans="1:2">
      <c r="A32" s="2">
        <v>43374</v>
      </c>
      <c r="B32" s="11">
        <v>1.8466</v>
      </c>
    </row>
    <row r="33" spans="1:2">
      <c r="A33" s="2">
        <v>43466</v>
      </c>
      <c r="B33" s="11">
        <v>2.6711</v>
      </c>
    </row>
    <row r="34" spans="1:2">
      <c r="A34" s="2">
        <v>43556</v>
      </c>
      <c r="B34" s="11">
        <v>1.3333999999999999</v>
      </c>
    </row>
    <row r="35" spans="1:2">
      <c r="A35" s="2">
        <v>43647</v>
      </c>
      <c r="B35" s="11">
        <v>1.6752</v>
      </c>
    </row>
    <row r="36" spans="1:2">
      <c r="A36" s="2">
        <v>43739</v>
      </c>
      <c r="B36" s="11">
        <v>1.7394000000000001</v>
      </c>
    </row>
    <row r="37" spans="1:2">
      <c r="A37" s="2">
        <v>43831</v>
      </c>
      <c r="B37" s="11">
        <v>-0.96909999999999996</v>
      </c>
    </row>
    <row r="38" spans="1:2">
      <c r="A38" s="2">
        <v>43922</v>
      </c>
      <c r="B38" s="11">
        <v>-32.084400000000002</v>
      </c>
    </row>
    <row r="39" spans="1:2">
      <c r="A39" s="2">
        <v>44013</v>
      </c>
      <c r="B39" s="11">
        <v>36.970799999999997</v>
      </c>
    </row>
    <row r="40" spans="1:2">
      <c r="A40" s="2">
        <v>44105</v>
      </c>
      <c r="B40" s="11">
        <v>7.16</v>
      </c>
    </row>
    <row r="41" spans="1:2">
      <c r="A41" s="2">
        <v>44197</v>
      </c>
      <c r="B41" s="11">
        <v>7.8693999999999997</v>
      </c>
    </row>
    <row r="42" spans="1:2">
      <c r="A42" s="2">
        <v>44287</v>
      </c>
      <c r="B42" s="11">
        <v>6.4264999999999999</v>
      </c>
    </row>
    <row r="43" spans="1:2">
      <c r="A43" s="2">
        <v>44378</v>
      </c>
      <c r="B43" s="11">
        <v>0.19500000000000001</v>
      </c>
    </row>
    <row r="44" spans="1:2">
      <c r="A44" s="2">
        <v>44470</v>
      </c>
      <c r="B44" s="11">
        <v>6.4985999999999997</v>
      </c>
    </row>
    <row r="45" spans="1:2">
      <c r="A45" s="2">
        <v>44562</v>
      </c>
      <c r="B45" s="11">
        <v>0.37280000000000002</v>
      </c>
    </row>
    <row r="46" spans="1:2">
      <c r="A46" s="2">
        <v>44652</v>
      </c>
      <c r="B46" s="11">
        <v>-1.2001999999999999</v>
      </c>
    </row>
    <row r="47" spans="1:2">
      <c r="A47" s="2">
        <v>44743</v>
      </c>
      <c r="B47" s="11">
        <v>3.0884999999999998</v>
      </c>
    </row>
    <row r="48" spans="1:2">
      <c r="A48" s="2">
        <v>44835</v>
      </c>
      <c r="B48" s="11">
        <v>3.5293999999999999</v>
      </c>
    </row>
    <row r="49" spans="1:2">
      <c r="A49" s="2">
        <v>44927</v>
      </c>
      <c r="B49" s="11">
        <v>1.1326000000000001</v>
      </c>
    </row>
    <row r="50" spans="1:2">
      <c r="A50" s="2">
        <v>45017</v>
      </c>
      <c r="B50" s="11">
        <v>2.4125999999999999</v>
      </c>
    </row>
    <row r="51" spans="1:2">
      <c r="A51" s="2">
        <v>45108</v>
      </c>
      <c r="B51" s="11">
        <v>5.4051999999999998</v>
      </c>
    </row>
    <row r="52" spans="1:2">
      <c r="A52" s="2">
        <v>45200</v>
      </c>
      <c r="B52" s="11">
        <v>2.3834</v>
      </c>
    </row>
    <row r="53" spans="1:2">
      <c r="A53" s="2">
        <v>45292</v>
      </c>
      <c r="B53" s="11">
        <v>2.7046999999999999</v>
      </c>
    </row>
    <row r="54" spans="1:2">
      <c r="A54" s="2">
        <v>45383</v>
      </c>
      <c r="B54" s="11">
        <v>2.6132</v>
      </c>
    </row>
    <row r="55" spans="1:2">
      <c r="A55" s="2">
        <v>45474</v>
      </c>
      <c r="B55" s="11">
        <v>2.7890000000000001</v>
      </c>
    </row>
    <row r="56" spans="1:2">
      <c r="A56" s="2">
        <v>45566</v>
      </c>
      <c r="B56" s="11">
        <v>2.2711000000000001</v>
      </c>
    </row>
    <row r="57" spans="1:2">
      <c r="A57" s="2">
        <v>45658</v>
      </c>
      <c r="B57" s="11">
        <v>-2.7317999999999998</v>
      </c>
    </row>
    <row r="58" spans="1:2">
      <c r="A58" s="2">
        <v>45748</v>
      </c>
      <c r="B58" s="11">
        <v>2.9020000000000001</v>
      </c>
    </row>
    <row r="59" spans="1:2">
      <c r="A59" s="2">
        <v>45839</v>
      </c>
      <c r="B59" s="11">
        <v>3.4727999999999999</v>
      </c>
    </row>
    <row r="60" spans="1:2">
      <c r="A60" s="2">
        <v>45931</v>
      </c>
      <c r="B60" s="11">
        <v>4.2373000000000003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B3095918772B43A8364490023FA56D" ma:contentTypeVersion="11" ma:contentTypeDescription="Create a new document." ma:contentTypeScope="" ma:versionID="b99b5d3b692f786f034ad5d960120e8c">
  <xsd:schema xmlns:xsd="http://www.w3.org/2001/XMLSchema" xmlns:xs="http://www.w3.org/2001/XMLSchema" xmlns:p="http://schemas.microsoft.com/office/2006/metadata/properties" xmlns:ns2="fc43f2f0-cacf-4123-8aa5-0af576dbc6b7" xmlns:ns3="38a23abc-c59f-4116-acbc-e9c4b60a138a" targetNamespace="http://schemas.microsoft.com/office/2006/metadata/properties" ma:root="true" ma:fieldsID="cc3488ecd2e124d5b9b9f9122b50761e" ns2:_="" ns3:_="">
    <xsd:import namespace="fc43f2f0-cacf-4123-8aa5-0af576dbc6b7"/>
    <xsd:import namespace="38a23abc-c59f-4116-acbc-e9c4b60a13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3f2f0-cacf-4123-8aa5-0af576dbc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045ab0-8ac1-4463-84de-84ec01d429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23abc-c59f-4116-acbc-e9c4b60a13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bc1f16-d307-4349-9e6e-6d521bd6f98c}" ma:internalName="TaxCatchAll" ma:showField="CatchAllData" ma:web="38a23abc-c59f-4116-acbc-e9c4b60a13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a23abc-c59f-4116-acbc-e9c4b60a138a" xsi:nil="true"/>
    <lcf76f155ced4ddcb4097134ff3c332f xmlns="fc43f2f0-cacf-4123-8aa5-0af576dbc6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91F6F8-FB0C-4B2A-988A-A59A99A3819C}"/>
</file>

<file path=customXml/itemProps2.xml><?xml version="1.0" encoding="utf-8"?>
<ds:datastoreItem xmlns:ds="http://schemas.openxmlformats.org/officeDocument/2006/customXml" ds:itemID="{1F2E842E-25D2-4C9D-B35E-D7A38EF69BCB}"/>
</file>

<file path=customXml/itemProps3.xml><?xml version="1.0" encoding="utf-8"?>
<ds:datastoreItem xmlns:ds="http://schemas.openxmlformats.org/officeDocument/2006/customXml" ds:itemID="{A9AEBA95-06AC-4659-B8F5-3E643C479D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2026-03-05T01:02:46Z</dcterms:created>
  <dcterms:modified xsi:type="dcterms:W3CDTF">2026-04-02T01:42:17Z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0x010100CAB3095918772B43A8364490023FA56D</vt:lpwstr>
  </property>
  <property fmtid="{D5CDD505-2E9C-101B-9397-08002B2CF9AE}" pid="3" name="MediaServiceImageTags">
    <vt:lpwstr/>
  </property>
</Properties>
</file>